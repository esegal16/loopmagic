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tyensegal/Downloads/"/>
    </mc:Choice>
  </mc:AlternateContent>
  <xr:revisionPtr revIDLastSave="0" documentId="13_ncr:1_{304E620A-4D2E-D84F-9BD8-3A49CDBE14A9}" xr6:coauthVersionLast="47" xr6:coauthVersionMax="47" xr10:uidLastSave="{00000000-0000-0000-0000-000000000000}"/>
  <bookViews>
    <workbookView xWindow="0" yWindow="660" windowWidth="30240" windowHeight="17820" xr2:uid="{2A18638E-C092-2644-89A0-5EEACC533054}"/>
  </bookViews>
  <sheets>
    <sheet name="Acquisition Model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__123Graph_A" hidden="1">[1]P!#REF!</definedName>
    <definedName name="__123Graph_AChart1" hidden="1">[1]P!#REF!</definedName>
    <definedName name="__123Graph_ACurrent" hidden="1">[1]P!#REF!</definedName>
    <definedName name="__123Graph_AGATHERING" hidden="1">[2]COC!#REF!</definedName>
    <definedName name="__123Graph_B" hidden="1">[3]XOM!#REF!</definedName>
    <definedName name="__123Graph_BSPREADS" hidden="1">[4]TSO!#REF!</definedName>
    <definedName name="__123Graph_X" hidden="1">[3]XOM!#REF!</definedName>
    <definedName name="__123Graph_XChart1" hidden="1">[5]P!$R$29:$AK$29</definedName>
    <definedName name="__123Graph_XCurrent" hidden="1">[5]P!$R$29:$AK$29</definedName>
    <definedName name="__123Graph_XGATHERING" hidden="1">[2]COC!#REF!</definedName>
    <definedName name="__FDS_HYPERLINK_TOGGLE_STATE__" hidden="1">"ON"</definedName>
    <definedName name="_10__123Graph_BGASOLINE\_2" hidden="1">[4]TSO!#REF!</definedName>
    <definedName name="_12__123Graph_XGASOLINE\_2" hidden="1">[4]TSO!#REF!</definedName>
    <definedName name="_13__123Graph_XLIQUIDS" hidden="1">[5]P!$R$29:$AK$29</definedName>
    <definedName name="_15__123Graph_XOP_COSTS" hidden="1">[4]TSO!#REF!</definedName>
    <definedName name="_16__123Graph_XR_M_MARG" hidden="1">[5]P!$R$29:$AK$29</definedName>
    <definedName name="_2__123Graph_AGASOLINE\_2" hidden="1">[4]TSO!#REF!</definedName>
    <definedName name="_4__123Graph_ALIQUIDS" hidden="1">[6]COP!#REF!</definedName>
    <definedName name="_6__123Graph_AOP_COSTS" hidden="1">[4]TSO!#REF!</definedName>
    <definedName name="_8__123Graph_AR_M_MARG" hidden="1">[1]P!#REF!</definedName>
    <definedName name="_bdm.27A67F90C7C644ABA5AEE92323AE8841.edm" hidden="1">'[7]New Source Charts'!$A:$IV</definedName>
    <definedName name="_bdm.2F994D6394314D65966806B0027B7ED0.edm" hidden="1">[8]Plants!$A:$IV</definedName>
    <definedName name="_bdm.3D459AB342314C87AF28EE2023B5B5D2.edm" hidden="1">[7]Modelware!$A:$IV</definedName>
    <definedName name="_bdm.4AF7B9937D644F5F89369844785EF279.edm" hidden="1">[8]VeraSun!$A:$IV</definedName>
    <definedName name="_bdm.51DB0A22AC534FDAAE0186334B0F5CC7.edm" hidden="1">#REF!</definedName>
    <definedName name="_bdm.556C0F41CE9F461F93C646A4B737FE37.edm" hidden="1">'[8]Forecast Change'!$A:$IV</definedName>
    <definedName name="_bdm.6A05919F37494F38ACE807AC7DE0AF1C.edm" hidden="1">#REF!</definedName>
    <definedName name="_bdm.6C3127543B3B4F248937555D27DB740A.edm" hidden="1">[9]PXP!$A:$IV</definedName>
    <definedName name="_bdm.80AA8F96F3EC41DCA0719BEA7F3C72E4.edm" hidden="1">'[7]Segment ROCE'!$A:$IV</definedName>
    <definedName name="_bdm.A167D12DAE3248FDB8A1CC583636203E.edm" hidden="1">#REF!</definedName>
    <definedName name="_bdm.AA6C2D22BE3E4F2895813DA1409C2ED5.edm" hidden="1">[7]BS!$A:$IV</definedName>
    <definedName name="_bdm.B187957A40074E88B68BA9B13084EB53.edm" hidden="1">[7]COP!$A:$IV</definedName>
    <definedName name="_bdm.B2DA56CA5AA740E6AFBE3497C6982B4B.edm" hidden="1">'[7]R&amp;MIS'!$A:$IV</definedName>
    <definedName name="_bdm.BC1DD9D4902146ED81E611A5BC71C3AD.edm" hidden="1">[8]INPUTS!$A:$IV</definedName>
    <definedName name="_bdm.FD343515BA234434BE623D650D6B8A99.edm" hidden="1">'[7]E&amp;P Growth &amp; Returns'!$A:$IV</definedName>
    <definedName name="abc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beta_observed">#REF!</definedName>
    <definedName name="beta_unlev_comps">#REF!</definedName>
    <definedName name="conversionfactor">'[10]E&amp;P'!$D$6</definedName>
    <definedName name="convfactor">#REF!</definedName>
    <definedName name="costdebtfirm">#REF!</definedName>
    <definedName name="costequity">#REF!</definedName>
    <definedName name="days_per_year">#REF!</definedName>
    <definedName name="debt">#REF!</definedName>
    <definedName name="debt_weight">#REF!</definedName>
    <definedName name="market_equity">#REF!</definedName>
    <definedName name="relevered_beta">#REF!</definedName>
    <definedName name="risk_free_rate">#REF!</definedName>
    <definedName name="risk_premium">#REF!</definedName>
    <definedName name="stubyear">#REF!</definedName>
    <definedName name="totalcap">#REF!</definedName>
    <definedName name="wacc">#REF!</definedName>
    <definedName name="wrn.2._.pagers." hidden="1">{"Cover",#N/A,FALSE,"Cover";"Summary",#N/A,FALSE,"Summarpage"}</definedName>
    <definedName name="wrn.allpages." hidden="1">{#N/A,#N/A,TRUE,"Historicals";#N/A,#N/A,TRUE,"Charts";#N/A,#N/A,TRUE,"Forecasts"}</definedName>
    <definedName name="wrn.Complete.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Industry.xls.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LBO._.Summary." hidden="1">{"LBO Summary",#N/A,FALSE,"Summary"}</definedName>
    <definedName name="wrn.MOBIL." hidden="1">{"quarter",#N/A,FALSE,"MOB"}</definedName>
    <definedName name="wrn.print._.all." hidden="1">{"all_other_prp",#N/A,FALSE,"All Other PP";"all_other_prp",#N/A,FALSE,"All Other PDC";"all_other_prp",#N/A,FALSE,"All Other PUD";"all_other_prp",#N/A,FALSE,"Boon PP";"all_other_prp",#N/A,FALSE,"Boon PDC";"all_other_prp",#N/A,FALSE,"Boon PUD";"all_other_prp",#N/A,FALSE,"Fash PP";"all_other_prp",#N/A,FALSE,"Fash PUD";"all_other_prp",#N/A,FALSE,"GB PP";"all_other_prp",#N/A,FALSE,"GB PUD";"all_other_prp",#N/A,FALSE,"GC PUD";"all_other_prp",#N/A,FALSE,"Logan PP";"all_other_prp",#N/A,FALSE,"Logan PDC";"all_other_prp",#N/A,FALSE,"Logan PUD";"all_other_prp",#N/A,FALSE,"Miss PP";"all_other_prp",#N/A,FALSE,"MS PP";"all_other_prp",#N/A,FALSE,"Ver PP";"all_other_prp",#N/A,FALSE,"Ind PUD";"all_other_prp",#N/A,FALSE,"ET All";"all_other_prp",#N/A,FALSE,"N Lans PP";"all_other_prp",#N/A,FALSE,"N Lans PDC";"all_other_prp",#N/A,FALSE,"N Lans PUD";"all_other_prp",#N/A,FALSE,"Opel PP";"all_other_prp",#N/A,FALSE,"Opel PUD";"all_other_prp",#N/A,FALSE,"TC PP";"all_other_prp",#N/A,FALSE,"TC PDC";"all_other_prp",#N/A,FALSE,"TC PUD";"all_other_prp",#N/A,FALSE,"Whelan PP";"all_other_prp",#N/A,FALSE,"Whelan PDC";"all_other_prp",#N/A,FALSE,"Whelan PUD";"all_other_prp",#N/A,FALSE,"WS PP";"all_other_prp",#N/A,FALSE,"WS PDC";"all_other_prp",#N/A,FALSE,"WS PUD";"all_other_prp",#N/A,FALSE,"UK PUD"}</definedName>
    <definedName name="wrn.Print._.All._.Pages.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offshore." hidden="1">{"off_at",#N/A,FALSE,"Off AT POT";"off_bt",#N/A,FALSE,"Off POT"}</definedName>
    <definedName name="wrn.Pulp." hidden="1">{"Pulp Production",#N/A,FALSE,"Pulp";"Pulp Earnings",#N/A,FALSE,"Pulp"}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5" i="1" l="1"/>
  <c r="N45" i="1"/>
  <c r="M45" i="1"/>
  <c r="L45" i="1"/>
  <c r="K45" i="1"/>
  <c r="O33" i="1"/>
  <c r="N33" i="1"/>
  <c r="M33" i="1"/>
  <c r="L33" i="1"/>
  <c r="K33" i="1"/>
  <c r="J33" i="1"/>
  <c r="I33" i="1"/>
  <c r="H33" i="1"/>
  <c r="G33" i="1"/>
  <c r="F33" i="1"/>
  <c r="O34" i="1"/>
  <c r="N34" i="1"/>
  <c r="M34" i="1"/>
  <c r="O32" i="1"/>
  <c r="N32" i="1"/>
  <c r="M32" i="1"/>
  <c r="L32" i="1"/>
  <c r="K32" i="1"/>
  <c r="J32" i="1"/>
  <c r="I32" i="1"/>
  <c r="H32" i="1"/>
  <c r="G32" i="1"/>
  <c r="F32" i="1"/>
  <c r="O31" i="1"/>
  <c r="N31" i="1"/>
  <c r="M31" i="1"/>
  <c r="O36" i="1"/>
  <c r="N36" i="1"/>
  <c r="M36" i="1"/>
  <c r="O35" i="1"/>
  <c r="N35" i="1"/>
  <c r="M35" i="1"/>
  <c r="F35" i="1"/>
  <c r="E12" i="1"/>
  <c r="E13" i="1"/>
  <c r="F12" i="1"/>
  <c r="B27" i="1"/>
  <c r="K42" i="1" a="1"/>
  <c r="K42" i="1" s="1"/>
  <c r="M42" i="1" a="1"/>
  <c r="M42" i="1" s="1"/>
  <c r="N42" i="1" a="1"/>
  <c r="N42" i="1" s="1"/>
  <c r="O42" i="1" a="1"/>
  <c r="O42" i="1" s="1"/>
  <c r="F42" i="1" a="1"/>
  <c r="F42" i="1" s="1"/>
  <c r="H42" i="1" a="1"/>
  <c r="H42" i="1" s="1"/>
  <c r="I42" i="1" a="1"/>
  <c r="I42" i="1" s="1"/>
  <c r="E42" i="1" a="1"/>
  <c r="E42" i="1" s="1"/>
  <c r="K40" i="1" a="1"/>
  <c r="K40" i="1" s="1"/>
  <c r="L40" i="1" a="1"/>
  <c r="L40" i="1" s="1"/>
  <c r="M40" i="1" a="1"/>
  <c r="M40" i="1" s="1"/>
  <c r="N40" i="1" a="1"/>
  <c r="N40" i="1" s="1"/>
  <c r="O40" i="1" a="1"/>
  <c r="O40" i="1" s="1"/>
  <c r="H40" i="1" a="1"/>
  <c r="H40" i="1" s="1"/>
  <c r="I40" i="1" a="1"/>
  <c r="I40" i="1" s="1"/>
  <c r="E40" i="1" a="1"/>
  <c r="E40" i="1" s="1"/>
  <c r="J12" i="1"/>
  <c r="K12" i="1"/>
  <c r="L12" i="1"/>
  <c r="M12" i="1"/>
  <c r="N12" i="1"/>
  <c r="J14" i="1"/>
  <c r="K14" i="1"/>
  <c r="L14" i="1"/>
  <c r="M14" i="1"/>
  <c r="N14" i="1"/>
  <c r="B46" i="1"/>
  <c r="F28" i="1" s="1"/>
  <c r="G28" i="1" s="1"/>
  <c r="H28" i="1" s="1"/>
  <c r="I28" i="1" s="1"/>
  <c r="J28" i="1" s="1"/>
  <c r="K28" i="1" s="1"/>
  <c r="L28" i="1" s="1"/>
  <c r="M28" i="1" s="1"/>
  <c r="N28" i="1" s="1"/>
  <c r="O28" i="1" s="1"/>
  <c r="B42" i="1"/>
  <c r="B37" i="1"/>
  <c r="F9" i="1" s="1"/>
  <c r="G9" i="1" s="1"/>
  <c r="H9" i="1" s="1"/>
  <c r="I9" i="1" s="1"/>
  <c r="J9" i="1" s="1"/>
  <c r="K9" i="1" s="1"/>
  <c r="L9" i="1" s="1"/>
  <c r="M9" i="1" s="1"/>
  <c r="N9" i="1" s="1"/>
  <c r="O9" i="1" s="1"/>
  <c r="B20" i="1"/>
  <c r="B16" i="1"/>
  <c r="B15" i="1"/>
  <c r="O14" i="1"/>
  <c r="I14" i="1"/>
  <c r="H14" i="1"/>
  <c r="G14" i="1"/>
  <c r="F14" i="1"/>
  <c r="B13" i="1"/>
  <c r="E39" i="1" s="1"/>
  <c r="E44" i="1" s="1"/>
  <c r="O12" i="1"/>
  <c r="I12" i="1"/>
  <c r="H12" i="1"/>
  <c r="G12" i="1"/>
  <c r="F31" i="1" l="1"/>
  <c r="F36" i="1"/>
  <c r="G35" i="1" s="1"/>
  <c r="G36" i="1" s="1"/>
  <c r="G31" i="1"/>
  <c r="F17" i="1"/>
  <c r="G17" i="1" s="1"/>
  <c r="H17" i="1" s="1"/>
  <c r="F13" i="1"/>
  <c r="E41" i="1"/>
  <c r="E45" i="1" s="1"/>
  <c r="B24" i="1"/>
  <c r="G13" i="1" l="1"/>
  <c r="F6" i="1"/>
  <c r="F7" i="1" s="1"/>
  <c r="F8" i="1" s="1"/>
  <c r="F10" i="1" s="1"/>
  <c r="I17" i="1"/>
  <c r="J17" i="1" s="1"/>
  <c r="K17" i="1" s="1"/>
  <c r="L17" i="1" s="1"/>
  <c r="M17" i="1" s="1"/>
  <c r="H13" i="1" l="1"/>
  <c r="G6" i="1"/>
  <c r="G7" i="1" s="1"/>
  <c r="G8" i="1" s="1"/>
  <c r="G10" i="1" s="1"/>
  <c r="N17" i="1"/>
  <c r="O17" i="1" s="1"/>
  <c r="F18" i="1"/>
  <c r="F19" i="1" s="1"/>
  <c r="I13" i="1" l="1"/>
  <c r="H6" i="1"/>
  <c r="H7" i="1" s="1"/>
  <c r="H8" i="1" s="1"/>
  <c r="H10" i="1" s="1"/>
  <c r="F23" i="1"/>
  <c r="F45" i="1" s="1"/>
  <c r="F20" i="1"/>
  <c r="G18" i="1"/>
  <c r="G19" i="1" s="1"/>
  <c r="J13" i="1" l="1"/>
  <c r="I6" i="1"/>
  <c r="I7" i="1" s="1"/>
  <c r="I8" i="1" s="1"/>
  <c r="I10" i="1" s="1"/>
  <c r="F24" i="1"/>
  <c r="F40" i="1" a="1"/>
  <c r="F40" i="1" s="1"/>
  <c r="F25" i="1"/>
  <c r="G23" i="1"/>
  <c r="G20" i="1"/>
  <c r="H18" i="1"/>
  <c r="H19" i="1" s="1"/>
  <c r="G40" i="1" l="1" a="1"/>
  <c r="G40" i="1" s="1"/>
  <c r="G45" i="1"/>
  <c r="F44" i="1"/>
  <c r="K13" i="1"/>
  <c r="J6" i="1"/>
  <c r="J7" i="1" s="1"/>
  <c r="J8" i="1" s="1"/>
  <c r="J10" i="1" s="1"/>
  <c r="J18" i="1" s="1"/>
  <c r="J19" i="1" s="1"/>
  <c r="G44" i="1"/>
  <c r="G24" i="1"/>
  <c r="G25" i="1"/>
  <c r="H23" i="1"/>
  <c r="H45" i="1" s="1"/>
  <c r="H20" i="1"/>
  <c r="I18" i="1"/>
  <c r="I19" i="1" s="1"/>
  <c r="L13" i="1" l="1"/>
  <c r="K6" i="1"/>
  <c r="K7" i="1" s="1"/>
  <c r="K8" i="1" s="1"/>
  <c r="K10" i="1" s="1"/>
  <c r="J23" i="1"/>
  <c r="J20" i="1"/>
  <c r="H44" i="1"/>
  <c r="H25" i="1"/>
  <c r="H24" i="1"/>
  <c r="I20" i="1"/>
  <c r="I23" i="1"/>
  <c r="I45" i="1" s="1"/>
  <c r="J25" i="1" l="1"/>
  <c r="J40" i="1" a="1"/>
  <c r="J40" i="1" s="1"/>
  <c r="M13" i="1"/>
  <c r="L6" i="1"/>
  <c r="L7" i="1" s="1"/>
  <c r="L8" i="1" s="1"/>
  <c r="L10" i="1" s="1"/>
  <c r="K18" i="1"/>
  <c r="K19" i="1" s="1"/>
  <c r="J24" i="1"/>
  <c r="I44" i="1"/>
  <c r="I25" i="1"/>
  <c r="I24" i="1"/>
  <c r="J44" i="1" l="1"/>
  <c r="K23" i="1"/>
  <c r="K20" i="1"/>
  <c r="M6" i="1"/>
  <c r="M7" i="1" s="1"/>
  <c r="M8" i="1" s="1"/>
  <c r="M10" i="1" s="1"/>
  <c r="N13" i="1"/>
  <c r="L18" i="1"/>
  <c r="L19" i="1" s="1"/>
  <c r="K24" i="1" l="1"/>
  <c r="K44" i="1"/>
  <c r="K25" i="1"/>
  <c r="L20" i="1"/>
  <c r="L23" i="1"/>
  <c r="M18" i="1"/>
  <c r="M19" i="1" s="1"/>
  <c r="L25" i="1"/>
  <c r="N6" i="1"/>
  <c r="N7" i="1" s="1"/>
  <c r="N8" i="1" s="1"/>
  <c r="N10" i="1" s="1"/>
  <c r="O13" i="1"/>
  <c r="O6" i="1" s="1"/>
  <c r="O7" i="1" s="1"/>
  <c r="O8" i="1" s="1"/>
  <c r="O10" i="1" s="1"/>
  <c r="O18" i="1" s="1"/>
  <c r="O19" i="1" s="1"/>
  <c r="L44" i="1" l="1"/>
  <c r="E52" i="1" s="1"/>
  <c r="L24" i="1"/>
  <c r="M20" i="1"/>
  <c r="M23" i="1"/>
  <c r="N18" i="1"/>
  <c r="N19" i="1" s="1"/>
  <c r="O20" i="1"/>
  <c r="O23" i="1"/>
  <c r="O44" i="1" s="1"/>
  <c r="M25" i="1" l="1"/>
  <c r="M44" i="1"/>
  <c r="M24" i="1"/>
  <c r="O25" i="1"/>
  <c r="O24" i="1"/>
  <c r="N23" i="1"/>
  <c r="N20" i="1"/>
  <c r="N24" i="1" l="1"/>
  <c r="N25" i="1"/>
  <c r="N44" i="1"/>
  <c r="F34" i="1" l="1"/>
  <c r="H35" i="1"/>
  <c r="G34" i="1"/>
  <c r="H31" i="1" l="1"/>
  <c r="H36" i="1"/>
  <c r="G42" i="1" a="1"/>
  <c r="G42" i="1" s="1"/>
  <c r="I35" i="1" l="1"/>
  <c r="H34" i="1"/>
  <c r="I31" i="1" l="1"/>
  <c r="I34" i="1" s="1"/>
  <c r="I36" i="1"/>
  <c r="J35" i="1"/>
  <c r="J31" i="1" l="1"/>
  <c r="J34" i="1" s="1"/>
  <c r="J36" i="1"/>
  <c r="K35" i="1" s="1"/>
  <c r="K36" i="1" l="1"/>
  <c r="L35" i="1" s="1"/>
  <c r="K31" i="1"/>
  <c r="J42" i="1" a="1"/>
  <c r="J42" i="1" s="1"/>
  <c r="J45" i="1" s="1"/>
  <c r="L36" i="1" l="1"/>
  <c r="L42" i="1" s="1" a="1"/>
  <c r="L42" i="1" s="1"/>
  <c r="L31" i="1"/>
  <c r="K34" i="1"/>
  <c r="L34" i="1" l="1"/>
  <c r="E51" i="1"/>
  <c r="E50" i="1"/>
  <c r="F52" i="1" l="1"/>
  <c r="F50" i="1" l="1"/>
  <c r="F5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<sst xmlns="http://schemas.openxmlformats.org/spreadsheetml/2006/main" count="117" uniqueCount="94">
  <si>
    <t>CRE ACQUISITION MODEL</t>
  </si>
  <si>
    <t>DEAL OVERVIEW</t>
  </si>
  <si>
    <t>Year 1</t>
  </si>
  <si>
    <t>Year 2</t>
  </si>
  <si>
    <t>Year 3</t>
  </si>
  <si>
    <t>Year 4</t>
  </si>
  <si>
    <t>Year 5</t>
  </si>
  <si>
    <t>Address</t>
  </si>
  <si>
    <t>Grimmauld Gardens</t>
  </si>
  <si>
    <t>City</t>
  </si>
  <si>
    <t>Miami, FL</t>
  </si>
  <si>
    <t>REVENUE</t>
  </si>
  <si>
    <t>Property Type</t>
  </si>
  <si>
    <t>Multifamily</t>
  </si>
  <si>
    <t>Gross Potential Rent</t>
  </si>
  <si>
    <t>Units</t>
  </si>
  <si>
    <t>Vacancy Loss</t>
  </si>
  <si>
    <t>Rentable SF</t>
  </si>
  <si>
    <t>Net Effective Rent</t>
  </si>
  <si>
    <t>Other Revenue</t>
  </si>
  <si>
    <t>ACQUISITION</t>
  </si>
  <si>
    <t>Effective Gross Income</t>
  </si>
  <si>
    <t>Purchase Price</t>
  </si>
  <si>
    <t>Closing Costs (% of Price)</t>
  </si>
  <si>
    <t>Occupancy</t>
  </si>
  <si>
    <t>Total Acquisition Cost</t>
  </si>
  <si>
    <t>Average Rent</t>
  </si>
  <si>
    <t>Going-in Cap Rate</t>
  </si>
  <si>
    <t>Annual Rent Growth</t>
  </si>
  <si>
    <t>-</t>
  </si>
  <si>
    <t>Price / Unit</t>
  </si>
  <si>
    <t>Price / SF</t>
  </si>
  <si>
    <t>OPERATING EXPENSES</t>
  </si>
  <si>
    <t>Operating Expenses</t>
  </si>
  <si>
    <t>FINANCING</t>
  </si>
  <si>
    <t>Management Fee</t>
  </si>
  <si>
    <t>Loan-to-Value (LTV)</t>
  </si>
  <si>
    <t>Total Operating Expenses</t>
  </si>
  <si>
    <t>Loan Amount</t>
  </si>
  <si>
    <t>OpEx % of EGI</t>
  </si>
  <si>
    <t>Interest Rate</t>
  </si>
  <si>
    <t>Amortization (years)</t>
  </si>
  <si>
    <t>NET OPERATING INCOME</t>
  </si>
  <si>
    <t>IO Period (years)</t>
  </si>
  <si>
    <t>NOI</t>
  </si>
  <si>
    <t>NOI Margin</t>
  </si>
  <si>
    <t>Yield-on-Cost</t>
  </si>
  <si>
    <t>Equity Required</t>
  </si>
  <si>
    <t>CAPITAL EXPENDITURES</t>
  </si>
  <si>
    <t>EXIT</t>
  </si>
  <si>
    <t>CapEx Reserves</t>
  </si>
  <si>
    <t>Exit Cap Rate</t>
  </si>
  <si>
    <t>Sale Costs (% of Price)</t>
  </si>
  <si>
    <t>DEBT SERVICE</t>
  </si>
  <si>
    <t>Hold Period (years)</t>
  </si>
  <si>
    <t>Interest Expense</t>
  </si>
  <si>
    <t>Principal Payment</t>
  </si>
  <si>
    <t>REVENUE DRIVERS</t>
  </si>
  <si>
    <t>Total Debt Service</t>
  </si>
  <si>
    <t>Year 1 Occupancy</t>
  </si>
  <si>
    <t>DSCR</t>
  </si>
  <si>
    <t>Stabilized Occupancy</t>
  </si>
  <si>
    <t>Monthly Rent / Unit</t>
  </si>
  <si>
    <t>CASH FLOW</t>
  </si>
  <si>
    <t>Acquisition Cost</t>
  </si>
  <si>
    <t>Other Revenue / Unit / Month</t>
  </si>
  <si>
    <t>Net Sale Proceeds</t>
  </si>
  <si>
    <t>Other Revenue Growth</t>
  </si>
  <si>
    <t>Loan Proceeds</t>
  </si>
  <si>
    <t>Loan Payoff</t>
  </si>
  <si>
    <t>EXPENSE DRIVERS</t>
  </si>
  <si>
    <t>Unlevered Cash Flow</t>
  </si>
  <si>
    <t>OpEx Growth</t>
  </si>
  <si>
    <t>Levered Cash Flow</t>
  </si>
  <si>
    <t>Management Fee (% EGI)</t>
  </si>
  <si>
    <t>CapEx Reserves / Unit / Year</t>
  </si>
  <si>
    <t>CapEx Growth</t>
  </si>
  <si>
    <t>RETURNS SUMMARY</t>
  </si>
  <si>
    <t>Unlevered</t>
  </si>
  <si>
    <t>Levered</t>
  </si>
  <si>
    <t>IRR</t>
  </si>
  <si>
    <t>Equity Multiple</t>
  </si>
  <si>
    <t>Profit</t>
  </si>
  <si>
    <t>Other Revenue % / Monthly Rent</t>
  </si>
  <si>
    <t>OpEx % / Monthly Rent</t>
  </si>
  <si>
    <t>OpEx / Unit / Month</t>
  </si>
  <si>
    <t>CapEx % / Monthly Rent</t>
  </si>
  <si>
    <t>Year 6</t>
  </si>
  <si>
    <t>Year 7</t>
  </si>
  <si>
    <t>Year 8</t>
  </si>
  <si>
    <t>Year 9</t>
  </si>
  <si>
    <t>Year 10</t>
  </si>
  <si>
    <t>Loan Balance (BOP)</t>
  </si>
  <si>
    <t>Loan Balance (EOP)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</si>
</sst>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5" formatCode="&quot;$&quot;#,##0_);\(&quot;$&quot;#,##0\)"/>
    <numFmt numFmtId="164" formatCode="&quot;$&quot;#,##0;\(&quot;$&quot;#,##0\);&quot;-&quot;"/>
    <numFmt numFmtId="165" formatCode="&quot;$&quot;#,##0"/>
    <numFmt numFmtId="166" formatCode="0.0%"/>
    <numFmt numFmtId="167" formatCode="0.00\x"/>
    <numFmt numFmtId="168" formatCode="&quot;$&quot;#,##0.0"/>
  </numFmts>
  <fonts count="7" x14ac:knownFonts="1"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FF"/>
      <name val="Arial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thin">
        <color indexed="64"/>
      </right>
      <top style="double">
        <color auto="1"/>
      </top>
      <bottom style="double">
        <color auto="1"/>
      </bottom>
      <diagonal/>
    </border>
    <border>
      <left/>
      <right style="thin">
        <color indexed="64"/>
      </right>
      <top style="thin">
        <color auto="1"/>
      </top>
      <bottom style="double">
        <color auto="1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76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2" borderId="2" xfId="0" applyFill="1" applyBorder="1"/>
    <xf numFmtId="0" fontId="2" fillId="2" borderId="0" xfId="0" applyFont="1" applyFill="1" applyAlignment="1">
      <alignment horizontal="center"/>
    </xf>
    <xf numFmtId="0" fontId="3" fillId="0" borderId="3" xfId="0" applyFont="1" applyBorder="1"/>
    <xf numFmtId="0" fontId="4" fillId="0" borderId="4" xfId="0" applyFont="1" applyBorder="1" applyAlignment="1">
      <alignment horizontal="right"/>
    </xf>
    <xf numFmtId="0" fontId="4" fillId="0" borderId="0" xfId="0" applyFont="1"/>
    <xf numFmtId="0" fontId="0" fillId="2" borderId="5" xfId="0" applyFill="1" applyBorder="1"/>
    <xf numFmtId="164" fontId="3" fillId="0" borderId="0" xfId="0" applyNumberFormat="1" applyFont="1"/>
    <xf numFmtId="164" fontId="3" fillId="0" borderId="4" xfId="0" applyNumberFormat="1" applyFont="1" applyBorder="1"/>
    <xf numFmtId="3" fontId="4" fillId="0" borderId="4" xfId="0" applyNumberFormat="1" applyFont="1" applyBorder="1"/>
    <xf numFmtId="3" fontId="4" fillId="0" borderId="0" xfId="0" applyNumberFormat="1" applyFont="1"/>
    <xf numFmtId="0" fontId="3" fillId="0" borderId="6" xfId="0" applyFont="1" applyBorder="1"/>
    <xf numFmtId="3" fontId="4" fillId="0" borderId="7" xfId="0" applyNumberFormat="1" applyFont="1" applyBorder="1"/>
    <xf numFmtId="0" fontId="2" fillId="0" borderId="3" xfId="0" applyFont="1" applyBorder="1"/>
    <xf numFmtId="164" fontId="2" fillId="0" borderId="8" xfId="0" applyNumberFormat="1" applyFont="1" applyBorder="1"/>
    <xf numFmtId="164" fontId="2" fillId="0" borderId="9" xfId="0" applyNumberFormat="1" applyFont="1" applyBorder="1"/>
    <xf numFmtId="0" fontId="3" fillId="0" borderId="0" xfId="0" applyFont="1"/>
    <xf numFmtId="165" fontId="4" fillId="0" borderId="4" xfId="0" applyNumberFormat="1" applyFont="1" applyBorder="1"/>
    <xf numFmtId="165" fontId="4" fillId="0" borderId="0" xfId="0" applyNumberFormat="1" applyFont="1"/>
    <xf numFmtId="0" fontId="0" fillId="0" borderId="4" xfId="0" applyBorder="1"/>
    <xf numFmtId="166" fontId="4" fillId="0" borderId="4" xfId="0" applyNumberFormat="1" applyFont="1" applyBorder="1"/>
    <xf numFmtId="166" fontId="3" fillId="0" borderId="0" xfId="0" applyNumberFormat="1" applyFont="1"/>
    <xf numFmtId="166" fontId="3" fillId="0" borderId="4" xfId="0" applyNumberFormat="1" applyFont="1" applyBorder="1"/>
    <xf numFmtId="0" fontId="0" fillId="0" borderId="3" xfId="0" applyBorder="1"/>
    <xf numFmtId="165" fontId="3" fillId="0" borderId="0" xfId="0" applyNumberFormat="1" applyFont="1"/>
    <xf numFmtId="165" fontId="3" fillId="0" borderId="4" xfId="0" applyNumberFormat="1" applyFont="1" applyBorder="1"/>
    <xf numFmtId="0" fontId="0" fillId="0" borderId="6" xfId="0" applyBorder="1"/>
    <xf numFmtId="0" fontId="3" fillId="0" borderId="10" xfId="0" applyFont="1" applyBorder="1" applyAlignment="1">
      <alignment horizontal="center"/>
    </xf>
    <xf numFmtId="166" fontId="3" fillId="0" borderId="10" xfId="0" applyNumberFormat="1" applyFont="1" applyBorder="1"/>
    <xf numFmtId="166" fontId="3" fillId="0" borderId="7" xfId="0" applyNumberFormat="1" applyFont="1" applyBorder="1"/>
    <xf numFmtId="165" fontId="3" fillId="0" borderId="7" xfId="0" applyNumberFormat="1" applyFont="1" applyBorder="1"/>
    <xf numFmtId="166" fontId="4" fillId="0" borderId="0" xfId="0" applyNumberFormat="1" applyFont="1"/>
    <xf numFmtId="0" fontId="0" fillId="0" borderId="10" xfId="0" applyBorder="1"/>
    <xf numFmtId="0" fontId="2" fillId="0" borderId="6" xfId="0" applyFont="1" applyBorder="1"/>
    <xf numFmtId="165" fontId="2" fillId="0" borderId="9" xfId="0" applyNumberFormat="1" applyFont="1" applyBorder="1"/>
    <xf numFmtId="165" fontId="2" fillId="0" borderId="0" xfId="0" applyNumberFormat="1" applyFont="1"/>
    <xf numFmtId="164" fontId="3" fillId="0" borderId="10" xfId="0" applyNumberFormat="1" applyFont="1" applyBorder="1"/>
    <xf numFmtId="164" fontId="3" fillId="0" borderId="7" xfId="0" applyNumberFormat="1" applyFont="1" applyBorder="1"/>
    <xf numFmtId="167" fontId="3" fillId="0" borderId="10" xfId="0" applyNumberFormat="1" applyFont="1" applyBorder="1"/>
    <xf numFmtId="167" fontId="3" fillId="0" borderId="7" xfId="0" applyNumberFormat="1" applyFont="1" applyBorder="1"/>
    <xf numFmtId="166" fontId="4" fillId="0" borderId="7" xfId="0" applyNumberFormat="1" applyFont="1" applyBorder="1"/>
    <xf numFmtId="164" fontId="2" fillId="0" borderId="5" xfId="0" applyNumberFormat="1" applyFont="1" applyBorder="1"/>
    <xf numFmtId="164" fontId="2" fillId="0" borderId="11" xfId="0" applyNumberFormat="1" applyFont="1" applyBorder="1"/>
    <xf numFmtId="164" fontId="2" fillId="0" borderId="12" xfId="0" applyNumberFormat="1" applyFont="1" applyBorder="1"/>
    <xf numFmtId="0" fontId="2" fillId="0" borderId="0" xfId="0" applyFont="1" applyAlignment="1">
      <alignment horizontal="center"/>
    </xf>
    <xf numFmtId="0" fontId="2" fillId="0" borderId="4" xfId="0" applyFont="1" applyBorder="1" applyAlignment="1">
      <alignment horizontal="center"/>
    </xf>
    <xf numFmtId="167" fontId="3" fillId="0" borderId="0" xfId="0" applyNumberFormat="1" applyFont="1"/>
    <xf numFmtId="167" fontId="3" fillId="0" borderId="4" xfId="0" applyNumberFormat="1" applyFont="1" applyBorder="1"/>
    <xf numFmtId="165" fontId="2" fillId="0" borderId="4" xfId="0" applyNumberFormat="1" applyFont="1" applyBorder="1"/>
    <xf numFmtId="0" fontId="3" fillId="0" borderId="0" xfId="0" applyFont="1" applyFill="1" applyBorder="1"/>
    <xf numFmtId="166" fontId="3" fillId="0" borderId="10" xfId="0" applyNumberFormat="1" applyFont="1" applyBorder="1" applyAlignment="1">
      <alignment horizontal="right"/>
    </xf>
    <xf numFmtId="0" fontId="3" fillId="0" borderId="0" xfId="0" applyFont="1" applyBorder="1"/>
    <xf numFmtId="166" fontId="4" fillId="0" borderId="0" xfId="0" applyNumberFormat="1" applyFont="1" applyBorder="1"/>
    <xf numFmtId="164" fontId="0" fillId="0" borderId="0" xfId="0" applyNumberFormat="1"/>
    <xf numFmtId="168" fontId="0" fillId="0" borderId="0" xfId="0" applyNumberFormat="1"/>
    <xf numFmtId="165" fontId="2" fillId="0" borderId="8" xfId="0" applyNumberFormat="1" applyFont="1" applyBorder="1"/>
    <xf numFmtId="165" fontId="3" fillId="0" borderId="0" xfId="0" applyNumberFormat="1" applyFont="1" applyAlignment="1">
      <alignment horizontal="center"/>
    </xf>
    <xf numFmtId="165" fontId="3" fillId="0" borderId="10" xfId="0" applyNumberFormat="1" applyFont="1" applyBorder="1" applyAlignment="1">
      <alignment horizontal="center"/>
    </xf>
    <xf numFmtId="165" fontId="3" fillId="0" borderId="0" xfId="0" applyNumberFormat="1" applyFont="1" applyAlignment="1">
      <alignment horizontal="right"/>
    </xf>
    <xf numFmtId="165" fontId="3" fillId="0" borderId="4" xfId="0" applyNumberFormat="1" applyFont="1" applyBorder="1" applyAlignment="1">
      <alignment horizontal="right"/>
    </xf>
    <xf numFmtId="165" fontId="3" fillId="0" borderId="10" xfId="0" applyNumberFormat="1" applyFont="1" applyBorder="1" applyAlignment="1">
      <alignment horizontal="right"/>
    </xf>
    <xf numFmtId="165" fontId="3" fillId="0" borderId="7" xfId="0" applyNumberFormat="1" applyFont="1" applyBorder="1" applyAlignment="1">
      <alignment horizontal="right"/>
    </xf>
    <xf numFmtId="166" fontId="0" fillId="0" borderId="0" xfId="0" applyNumberFormat="1"/>
    <xf numFmtId="10" fontId="0" fillId="0" borderId="0" xfId="1" applyNumberFormat="1" applyFont="1"/>
    <xf numFmtId="5" fontId="3" fillId="0" borderId="0" xfId="0" applyNumberFormat="1" applyFont="1"/>
    <xf numFmtId="5" fontId="3" fillId="0" borderId="0" xfId="0" applyNumberFormat="1" applyFont="1" applyAlignment="1">
      <alignment horizontal="center"/>
    </xf>
    <xf numFmtId="5" fontId="3" fillId="0" borderId="4" xfId="0" applyNumberFormat="1" applyFont="1" applyBorder="1" applyAlignment="1">
      <alignment horizontal="center"/>
    </xf>
    <xf numFmtId="5" fontId="3" fillId="0" borderId="4" xfId="0" applyNumberFormat="1" applyFont="1" applyBorder="1" applyAlignment="1">
      <alignment horizontal="right"/>
    </xf>
    <xf numFmtId="5" fontId="0" fillId="0" borderId="0" xfId="0" applyNumberFormat="1"/>
    <xf numFmtId="5" fontId="0" fillId="0" borderId="4" xfId="0" applyNumberFormat="1" applyBorder="1"/>
    <xf numFmtId="0" fontId="3" fillId="0" borderId="5" xfId="0" applyFont="1" applyBorder="1"/>
    <xf numFmtId="0" fontId="0" fillId="0" borderId="5" xfId="0" applyBorder="1"/>
    <xf numFmtId="166" fontId="3" fillId="0" borderId="5" xfId="0" applyNumberFormat="1" applyFont="1" applyBorder="1"/>
    <xf numFmtId="164" fontId="2" fillId="0" borderId="13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sheetMetadata" Target="metadata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Startup" Target="doug/P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Startup" Target="mahers/conoco%20old-fixed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Startup" Target="doug/xom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Startup" Target="doug/REFINE/TSO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Startup" Target="TEMP/data/excel/P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Startup" Target="DOUG/Modelware/CoP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Startup" Target="DOUG/Modelware/Copy%20of%20COP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Startup" Target="Dave/Company/VSE/VSE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Startup" Target="ENERGY/LLOYD/E_&amp;_P/STOCKS/PXP/old%20models/PXP%20Model%20base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Arkady/Dropbox%20(Wall%20Street%20Prep)/Course%20Materials-%20WSP/Oil%20&amp;%20Gas%20Modeling/2014/Introduction%20to%20O&amp;G/Interesting%20readings%20&amp;%20resources/O&amp;Gprojectionmodel_comple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"/>
      <sheetName val="BS"/>
      <sheetName val="Variance"/>
      <sheetName val="Segment ROCE"/>
      <sheetName val="Capex"/>
      <sheetName val="E&amp;P"/>
      <sheetName val="Relative"/>
      <sheetName val="ROGIC"/>
      <sheetName val="NEPS"/>
      <sheetName val="Hamaca"/>
      <sheetName val="Bohai"/>
      <sheetName val="Bayu Undan"/>
      <sheetName val="R&amp;M"/>
      <sheetName val="GPM"/>
      <sheetName val="ARCO - Alaska"/>
      <sheetName val="RefineryMaint"/>
      <sheetName val="TOSCO"/>
      <sheetName val="Reserves"/>
      <sheetName val="WACC"/>
      <sheetName val="Valuation"/>
      <sheetName val="NAV"/>
      <sheetName val="Chemical JV"/>
      <sheetName val="Chems"/>
      <sheetName val="EKOFISK"/>
      <sheetName val="PUDS"/>
      <sheetName val="GE Data"/>
      <sheetName val="MainCode"/>
      <sheetName val="NY UPLOAD"/>
      <sheetName val="NY UPLOAD shadow"/>
      <sheetName val="Disclaimer"/>
      <sheetName val="Quarterly"/>
      <sheetName val="IndexInformation"/>
      <sheetName val="NORM"/>
      <sheetName val="NY UPLOAD.bak"/>
      <sheetName val="NY UPLOAD Shadow.bak"/>
      <sheetName val="Normalized"/>
      <sheetName val="DDM"/>
      <sheetName val="B Sheet"/>
      <sheetName val="Ratios"/>
      <sheetName val="SOLP"/>
      <sheetName val="Liquids"/>
      <sheetName val="charts"/>
      <sheetName val="Apples-Ratios"/>
      <sheetName val="IS"/>
      <sheetName val="Quarterly Data"/>
      <sheetName val="Debt"/>
      <sheetName val="Sheet1"/>
      <sheetName val="A-Link Source"/>
      <sheetName val="IBES"/>
      <sheetName val="Model"/>
      <sheetName val="Value-A"/>
      <sheetName val="U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C"/>
      <sheetName val="Variance"/>
      <sheetName val="BS"/>
      <sheetName val="Capex"/>
      <sheetName val="ROCE"/>
      <sheetName val="Corp. "/>
      <sheetName val="Emerging Bus."/>
      <sheetName val="NEPS"/>
      <sheetName val="Quarterly"/>
      <sheetName val="US E&amp;P"/>
      <sheetName val="Eu.E&amp;P"/>
      <sheetName val="Other E&amp;P"/>
      <sheetName val="P"/>
      <sheetName val="R&amp;M"/>
      <sheetName val="COC vs. Wood Mac Prod. Profile"/>
      <sheetName val="E&amp;P-Conoco"/>
      <sheetName val="E&amp;P-Total"/>
      <sheetName val="GOU"/>
      <sheetName val="PETROZUATA"/>
      <sheetName val="Lifting_DD&amp;A"/>
      <sheetName val="PZ2"/>
      <sheetName val="Corporate ROGIC"/>
      <sheetName val="WACC"/>
      <sheetName val="NAV"/>
      <sheetName val="Reserves"/>
      <sheetName val="Charts"/>
      <sheetName val="Debt Cov"/>
      <sheetName val="NG&amp;GP"/>
      <sheetName val="LOBO"/>
      <sheetName val="Pro-Forma Reserves"/>
      <sheetName val="F&amp;D"/>
      <sheetName val="Split"/>
      <sheetName val="GE Data"/>
      <sheetName val="mStartup"/>
      <sheetName val="NY UPLOAD"/>
      <sheetName val="NY UPLOAD shad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OM"/>
      <sheetName val="BS"/>
      <sheetName val="ROCE"/>
      <sheetName val="Variance"/>
      <sheetName val="E&amp;P"/>
      <sheetName val="CapEx"/>
      <sheetName val="NSOURCE"/>
      <sheetName val="EE&amp;P"/>
      <sheetName val="Global E&amp;P Field Percentages"/>
      <sheetName val="Chems"/>
      <sheetName val="Realtive"/>
      <sheetName val="DIVIS"/>
      <sheetName val="MobilPurchase"/>
      <sheetName val="MKT"/>
      <sheetName val="I R&amp;M"/>
      <sheetName val="R&amp;M"/>
      <sheetName val="NEPS"/>
      <sheetName val="ROGIC"/>
      <sheetName val="Sheet1"/>
      <sheetName val="WACC"/>
      <sheetName val="Reserves"/>
      <sheetName val="MainCode"/>
      <sheetName val="RefineryMaint"/>
      <sheetName val="GE Data"/>
      <sheetName val="NY UPLOAD"/>
      <sheetName val="NY UPLOAD shadow"/>
      <sheetName val="EPPR."/>
      <sheetName val="Disclaimer"/>
      <sheetName val="I.MKT"/>
      <sheetName val="IndexInformation"/>
      <sheetName val="Quarterly"/>
      <sheetName val="NY UPLOAD.bak"/>
      <sheetName val="NY UPLOAD Shadow.bak"/>
      <sheetName val="E&amp;P-2"/>
      <sheetName val="Sheet2"/>
      <sheetName val="OPEBs"/>
      <sheetName val="DCF"/>
      <sheetName val="YUKOS"/>
      <sheetName val="Pensions"/>
      <sheetName val="DEKA"/>
      <sheetName val=""/>
      <sheetName val="mwareTaxoPres"/>
      <sheetName val="Model_Template"/>
      <sheetName val="mwareValPrintout"/>
      <sheetName val="mwarePreview"/>
      <sheetName val="IS"/>
      <sheetName val="E&amp;PIS"/>
      <sheetName val="R&amp;MIS"/>
      <sheetName val="ChemsIS"/>
      <sheetName val="Corporate"/>
      <sheetName val="MODELWARE"/>
      <sheetName val="ReservesRegion"/>
      <sheetName val="Share Repurchase"/>
      <sheetName val="WorkingCapital"/>
      <sheetName val="R&amp;M ROCE by Region"/>
      <sheetName val="IR&amp;M"/>
      <sheetName val="Marketing"/>
      <sheetName val="US Pension"/>
      <sheetName val="Intl Pension"/>
      <sheetName val="A-Link Source"/>
      <sheetName val="DRC"/>
      <sheetName val="Q-Link Source"/>
      <sheetName val="Turnarounds"/>
      <sheetName val="Global Product Sum"/>
      <sheetName val="mwareDates"/>
      <sheetName val="mwareSettings"/>
      <sheetName val="GҘ Data"/>
      <sheetName val="ES_x0009_SHOW.INFO_x0005_SPLIT_x0009_ON.WINDOW_x0007_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SO"/>
      <sheetName val="Stats"/>
      <sheetName val="BS"/>
      <sheetName val="NORM"/>
      <sheetName val="ROCE"/>
      <sheetName val="WACC"/>
      <sheetName val="Capex"/>
      <sheetName val="MainCode"/>
      <sheetName val="BP Acquisition"/>
      <sheetName val="Golden Eagle"/>
      <sheetName val="Variance"/>
      <sheetName val="GE Data"/>
      <sheetName val="NY UPLOAD"/>
      <sheetName val="NY UPLOAD Shadow"/>
      <sheetName val="MWare_Cached"/>
      <sheetName val="NYMEX"/>
      <sheetName val="mwareTaxoPres"/>
      <sheetName val="R-Stats"/>
      <sheetName val="M-Stats"/>
      <sheetName val="Debt"/>
      <sheetName val="ShareRepurchase"/>
      <sheetName val="mwareValPrintout"/>
      <sheetName val="mwarePreview"/>
      <sheetName val="Modelware"/>
      <sheetName val="Pensions"/>
      <sheetName val="OPEB"/>
      <sheetName val="TSOIS"/>
      <sheetName val="mwareDates"/>
      <sheetName val="mwareSettings"/>
      <sheetName val="A-Link Sour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laimer"/>
      <sheetName val="P"/>
      <sheetName val="BS"/>
      <sheetName val="TOSCO"/>
      <sheetName val="Segment ROCE"/>
      <sheetName val="ROGIC"/>
      <sheetName val="E&amp;P"/>
      <sheetName val="NEPS"/>
      <sheetName val="RefineryMaint"/>
      <sheetName val="Hamaca"/>
      <sheetName val="Bohai"/>
      <sheetName val="Bayu Undan"/>
      <sheetName val="R&amp;M"/>
      <sheetName val="GPM"/>
      <sheetName val="Variance"/>
      <sheetName val="ARCO - Alaska"/>
      <sheetName val="Capex"/>
      <sheetName val="Reserves"/>
      <sheetName val="WACC"/>
      <sheetName val="Valuation"/>
      <sheetName val="NAV"/>
      <sheetName val="Chemical JV"/>
      <sheetName val="Chems"/>
      <sheetName val="EKOFISK"/>
      <sheetName val="PUDS"/>
      <sheetName val="GE Data"/>
      <sheetName val="IndexInformation"/>
      <sheetName val="MainCode"/>
      <sheetName val="NY UPLOAD"/>
      <sheetName val="NY UPLOAD Shadow"/>
      <sheetName val="Distribu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wareValPrintout"/>
      <sheetName val="Summary"/>
      <sheetName val="mwarePreview"/>
      <sheetName val="COP"/>
      <sheetName val="TOTIS"/>
      <sheetName val="BS"/>
      <sheetName val="Segment ROCE"/>
      <sheetName val="Modelware"/>
      <sheetName val="E&amp;PIS"/>
      <sheetName val="E&amp;P"/>
      <sheetName val="R&amp;MIS"/>
      <sheetName val="NEW SOURCE"/>
      <sheetName val="CHEMIS"/>
      <sheetName val="Midstream"/>
      <sheetName val="ALASKA"/>
      <sheetName val="Working Cap"/>
      <sheetName val="Corp"/>
      <sheetName val="Capex"/>
      <sheetName val="SYNCRUDE"/>
      <sheetName val="ShareRepurchase"/>
      <sheetName val="OP"/>
      <sheetName val="Debt Schedule"/>
      <sheetName val="COP_Bear_to_Bull_Chart"/>
      <sheetName val="Reserves"/>
      <sheetName val="COP_Bear_to_Bull_Data"/>
      <sheetName val="COP-EN"/>
      <sheetName val="COP_Risk-Reward_View_Chart"/>
      <sheetName val="COP-BR"/>
      <sheetName val="A-Link Source"/>
      <sheetName val="COP-BR Update"/>
      <sheetName val="New Source Charts"/>
      <sheetName val="LNG"/>
      <sheetName val="Q-Link Source"/>
      <sheetName val="mwareTaxoPres"/>
      <sheetName val="US Pension"/>
      <sheetName val="Intl Pension"/>
      <sheetName val="OPEBs"/>
      <sheetName val="Pension Adjustment"/>
      <sheetName val="Variance"/>
      <sheetName val="Admin Pages Follow"/>
      <sheetName val="E&amp;P Growth &amp; Returns"/>
      <sheetName val="STRAT"/>
      <sheetName val="Bayu Undan"/>
      <sheetName val="R&amp;M"/>
      <sheetName val="Hamaca"/>
      <sheetName val="GPM"/>
      <sheetName val="Global Production Interest"/>
      <sheetName val="Bohai"/>
      <sheetName val="Chemical JV"/>
      <sheetName val="Chems"/>
      <sheetName val="EKOFISK"/>
      <sheetName val="PUDS"/>
      <sheetName val="MainCode"/>
      <sheetName val="mwareSettings"/>
      <sheetName val="Global Product Sum"/>
      <sheetName val="mwareDates"/>
      <sheetName val="NY UPLOAD shadow"/>
      <sheetName val="COP - RRV"/>
      <sheetName val="mwareDates_39111_8204615"/>
      <sheetName val="MWare_Cached"/>
      <sheetName val="NewReserves"/>
      <sheetName val="DEKA"/>
      <sheetName val="GE Data"/>
      <sheetName val="NY UPLO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wareValPrintout"/>
      <sheetName val="Summary"/>
      <sheetName val="mwarePreview"/>
      <sheetName val="COP"/>
      <sheetName val="TOTIS"/>
      <sheetName val="Variance"/>
      <sheetName val="Segment ROCE"/>
      <sheetName val="BS"/>
      <sheetName val="E&amp;PIS"/>
      <sheetName val="RRV"/>
      <sheetName val="R&amp;MIS"/>
      <sheetName val="CHEMIS"/>
      <sheetName val="E&amp;P"/>
      <sheetName val="Corp"/>
      <sheetName val="NEW SOURCE"/>
      <sheetName val="COP-BR"/>
      <sheetName val="COP-BR Update"/>
      <sheetName val="Modelware"/>
      <sheetName val="Capex"/>
      <sheetName val="Midstream"/>
      <sheetName val="Reserves"/>
      <sheetName val="Working Cap"/>
      <sheetName val="Debt Schedule"/>
      <sheetName val="A-Link Source"/>
      <sheetName val="ShareRepurchase"/>
      <sheetName val="New Source Charts"/>
      <sheetName val="LNG"/>
      <sheetName val="Q-Link Source"/>
      <sheetName val="mwareTaxoPres"/>
      <sheetName val="US Pension"/>
      <sheetName val="Intl Pension"/>
      <sheetName val="OPEBs"/>
      <sheetName val="Pension Adjustment"/>
      <sheetName val="Admin Pages Follow"/>
      <sheetName val="E&amp;P Growth &amp; Returns"/>
      <sheetName val="STRAT"/>
      <sheetName val="Bayu Undan"/>
      <sheetName val="R&amp;M"/>
      <sheetName val="Hamaca"/>
      <sheetName val="GPM"/>
      <sheetName val="Global Production Interest"/>
      <sheetName val="Bohai"/>
      <sheetName val="Chemical JV"/>
      <sheetName val="Chems"/>
      <sheetName val="EKOFISK"/>
      <sheetName val="PUDS"/>
      <sheetName val="MainCode"/>
      <sheetName val="mwareDates"/>
      <sheetName val="mwareSettings"/>
      <sheetName val="Global Product Sum"/>
      <sheetName val="NY UPLOAD shadow"/>
      <sheetName val="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riance (2)"/>
      <sheetName val="Forecast Change"/>
      <sheetName val="Variance"/>
      <sheetName val="INPUTS"/>
      <sheetName val="VeraSun"/>
      <sheetName val="DCF"/>
      <sheetName val="Comps"/>
      <sheetName val="VE85"/>
      <sheetName val="Conversions"/>
      <sheetName val="calc summary"/>
      <sheetName val="Plants"/>
      <sheetName val="Risk-Reward_View_Chart"/>
      <sheetName val="Bear_to_Bull_Chart"/>
      <sheetName val="Bear_to_Bull_Data"/>
      <sheetName val="Modelware"/>
      <sheetName val="mwareDates"/>
      <sheetName val="mwareSettings"/>
      <sheetName val="A-Link Source"/>
      <sheetName val="Val Snapshot"/>
      <sheetName val="Q-Link Source"/>
      <sheetName val="DCF Summary"/>
      <sheetName val="New Source Charts"/>
      <sheetName val="Segment ROCE"/>
      <sheetName val="BS"/>
      <sheetName val="COP"/>
      <sheetName val="R&amp;MIS"/>
      <sheetName val="E&amp;P Growth &amp; Retur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lware items"/>
      <sheetName val="charts"/>
      <sheetName val="Old_NEW"/>
      <sheetName val="EPS notes"/>
      <sheetName val="Est v Act"/>
      <sheetName val="GUIDANCE"/>
      <sheetName val="PXP"/>
      <sheetName val="__FDSCACHE__"/>
      <sheetName val="Valuation"/>
      <sheetName val="Hedges"/>
      <sheetName val="Reserves &amp; Capex"/>
      <sheetName val="Unbooked Summary"/>
      <sheetName val="Benchmark Prices"/>
      <sheetName val="Oil sale split"/>
      <sheetName val="ASSETS"/>
      <sheetName val="Basin summary"/>
      <sheetName val="Pension"/>
      <sheetName val="Deferred taxes"/>
      <sheetName val="mwareDates"/>
      <sheetName val="test"/>
      <sheetName val="mwareSettings"/>
      <sheetName val="Plants"/>
      <sheetName val="VeraSun"/>
      <sheetName val="Forecast Change"/>
      <sheetName val="INPU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"/>
      <sheetName val="finmodeling"/>
      <sheetName val="E&amp;P"/>
      <sheetName val="Price  Deck"/>
      <sheetName val="E&amp;PIS"/>
      <sheetName val="CAPEX"/>
      <sheetName val="Chemicals"/>
      <sheetName val="BoostToolkitClipBoard2010"/>
      <sheetName val="Reserves"/>
      <sheetName val="Hedge"/>
      <sheetName val="SEC PV 10"/>
    </sheetNames>
    <sheetDataSet>
      <sheetData sheetId="0"/>
      <sheetData sheetId="1"/>
      <sheetData sheetId="2">
        <row r="6">
          <cell r="D6">
            <v>6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4129783-6C90-C140-A1E0-AEBEC36D0681}">
  <we:reference id="wa200009404" version="1.0.0.5" store="en-US" storeType="OMEX"/>
  <we:alternateReferences>
    <we:reference id="wa200009404" version="1.0.0.5" store="en-US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DAA48-A4FA-2845-AC46-0123545017E7}">
  <dimension ref="A1:O56"/>
  <sheetViews>
    <sheetView showGridLines="0" tabSelected="1" zoomScale="75" zoomScaleNormal="83" workbookViewId="0">
      <selection activeCell="J39" sqref="J39"/>
    </sheetView>
  </sheetViews>
  <sheetFormatPr baseColWidth="10" defaultRowHeight="15" outlineLevelRow="1" x14ac:dyDescent="0.2"/>
  <cols>
    <col min="1" max="1" width="31.83203125" bestFit="1" customWidth="1"/>
    <col min="2" max="2" width="16.6640625" bestFit="1" customWidth="1"/>
    <col min="3" max="3" width="18.33203125" customWidth="1"/>
    <col min="4" max="4" width="26.6640625" customWidth="1"/>
    <col min="5" max="15" width="15.83203125" customWidth="1"/>
  </cols>
  <sheetData>
    <row r="1" spans="1:15" ht="18" x14ac:dyDescent="0.2">
      <c r="A1" s="1" t="s">
        <v>0</v>
      </c>
    </row>
    <row r="3" spans="1:15" x14ac:dyDescent="0.2">
      <c r="A3" s="2" t="s">
        <v>1</v>
      </c>
      <c r="B3" s="3"/>
      <c r="D3" s="4"/>
      <c r="E3" s="4"/>
      <c r="F3" s="4" t="s">
        <v>2</v>
      </c>
      <c r="G3" s="4" t="s">
        <v>3</v>
      </c>
      <c r="H3" s="4" t="s">
        <v>4</v>
      </c>
      <c r="I3" s="4" t="s">
        <v>5</v>
      </c>
      <c r="J3" s="4" t="s">
        <v>6</v>
      </c>
      <c r="K3" s="4" t="s">
        <v>87</v>
      </c>
      <c r="L3" s="4" t="s">
        <v>88</v>
      </c>
      <c r="M3" s="4" t="s">
        <v>89</v>
      </c>
      <c r="N3" s="4" t="s">
        <v>90</v>
      </c>
      <c r="O3" s="4" t="s">
        <v>91</v>
      </c>
    </row>
    <row r="4" spans="1:15" x14ac:dyDescent="0.2">
      <c r="A4" s="5" t="s">
        <v>7</v>
      </c>
      <c r="B4" s="6" t="s">
        <v>8</v>
      </c>
      <c r="C4" s="7"/>
    </row>
    <row r="5" spans="1:15" x14ac:dyDescent="0.2">
      <c r="A5" s="5" t="s">
        <v>9</v>
      </c>
      <c r="B5" s="6" t="s">
        <v>10</v>
      </c>
      <c r="C5" s="7"/>
      <c r="D5" s="2" t="s">
        <v>11</v>
      </c>
      <c r="E5" s="8"/>
      <c r="F5" s="8"/>
      <c r="G5" s="8"/>
      <c r="H5" s="8"/>
      <c r="I5" s="8"/>
      <c r="J5" s="8"/>
      <c r="K5" s="8"/>
      <c r="L5" s="8"/>
      <c r="M5" s="8"/>
      <c r="N5" s="8"/>
      <c r="O5" s="3"/>
    </row>
    <row r="6" spans="1:15" x14ac:dyDescent="0.2">
      <c r="A6" s="5" t="s">
        <v>12</v>
      </c>
      <c r="B6" s="6" t="s">
        <v>13</v>
      </c>
      <c r="C6" s="7"/>
      <c r="D6" s="5" t="s">
        <v>14</v>
      </c>
      <c r="E6" s="9"/>
      <c r="F6" s="9">
        <f>$B$7*F13*12</f>
        <v>741600</v>
      </c>
      <c r="G6" s="9">
        <f>$B$7*G13*12</f>
        <v>763848.00000000012</v>
      </c>
      <c r="H6" s="9">
        <f>$B$7*H13*12</f>
        <v>786763.44000000018</v>
      </c>
      <c r="I6" s="9">
        <f>$B$7*I13*12</f>
        <v>810366.34320000024</v>
      </c>
      <c r="J6" s="9">
        <f t="shared" ref="J6:O6" si="0">$B$7*J13*12</f>
        <v>834677.33349600015</v>
      </c>
      <c r="K6" s="9">
        <f t="shared" si="0"/>
        <v>859717.65350088035</v>
      </c>
      <c r="L6" s="9">
        <f t="shared" si="0"/>
        <v>885509.18310590659</v>
      </c>
      <c r="M6" s="9">
        <f t="shared" si="0"/>
        <v>912074.45859908382</v>
      </c>
      <c r="N6" s="9">
        <f t="shared" si="0"/>
        <v>939436.69235705631</v>
      </c>
      <c r="O6" s="10">
        <f t="shared" si="0"/>
        <v>967619.79312776809</v>
      </c>
    </row>
    <row r="7" spans="1:15" x14ac:dyDescent="0.2">
      <c r="A7" s="5" t="s">
        <v>15</v>
      </c>
      <c r="B7" s="11">
        <v>20</v>
      </c>
      <c r="C7" s="12"/>
      <c r="D7" s="5" t="s">
        <v>16</v>
      </c>
      <c r="F7" s="9">
        <f>-F6*(1-F12)</f>
        <v>-111240.00000000001</v>
      </c>
      <c r="G7" s="9">
        <f>-G6*(1-G12)</f>
        <v>-38192.400000000038</v>
      </c>
      <c r="H7" s="9">
        <f>-H6*(1-H12)</f>
        <v>-39338.172000000042</v>
      </c>
      <c r="I7" s="9">
        <f>-I6*(1-I12)</f>
        <v>-40518.31716000005</v>
      </c>
      <c r="J7" s="9">
        <f t="shared" ref="J7:N7" si="1">-J6*(1-J12)</f>
        <v>-41733.866674800047</v>
      </c>
      <c r="K7" s="9">
        <f t="shared" si="1"/>
        <v>-42985.882675044057</v>
      </c>
      <c r="L7" s="9">
        <f t="shared" si="1"/>
        <v>-44275.459155295372</v>
      </c>
      <c r="M7" s="9">
        <f t="shared" si="1"/>
        <v>-45603.72292995423</v>
      </c>
      <c r="N7" s="9">
        <f t="shared" si="1"/>
        <v>-46971.834617852859</v>
      </c>
      <c r="O7" s="10">
        <f>-O6*(1-O12)</f>
        <v>-48380.989656388447</v>
      </c>
    </row>
    <row r="8" spans="1:15" x14ac:dyDescent="0.2">
      <c r="A8" s="13" t="s">
        <v>17</v>
      </c>
      <c r="B8" s="14">
        <v>10000</v>
      </c>
      <c r="C8" s="12"/>
      <c r="D8" s="15" t="s">
        <v>18</v>
      </c>
      <c r="F8" s="16">
        <f>F6+F7</f>
        <v>630360</v>
      </c>
      <c r="G8" s="16">
        <f>G6+G7</f>
        <v>725655.60000000009</v>
      </c>
      <c r="H8" s="16">
        <f>H6+H7</f>
        <v>747425.26800000016</v>
      </c>
      <c r="I8" s="16">
        <f>I6+I7</f>
        <v>769848.02604000014</v>
      </c>
      <c r="J8" s="16">
        <f t="shared" ref="J8:N8" si="2">J6+J7</f>
        <v>792943.4668212001</v>
      </c>
      <c r="K8" s="16">
        <f t="shared" si="2"/>
        <v>816731.77082583634</v>
      </c>
      <c r="L8" s="16">
        <f t="shared" si="2"/>
        <v>841233.72395061119</v>
      </c>
      <c r="M8" s="16">
        <f t="shared" si="2"/>
        <v>866470.73566912964</v>
      </c>
      <c r="N8" s="16">
        <f t="shared" si="2"/>
        <v>892464.85773920349</v>
      </c>
      <c r="O8" s="17">
        <f>O6+O7</f>
        <v>919238.80347137968</v>
      </c>
    </row>
    <row r="9" spans="1:15" x14ac:dyDescent="0.2">
      <c r="A9" s="18"/>
      <c r="B9" s="18"/>
      <c r="C9" s="18"/>
      <c r="D9" s="5" t="s">
        <v>19</v>
      </c>
      <c r="F9" s="9">
        <f>$B$37*$B$7*12</f>
        <v>72000</v>
      </c>
      <c r="G9" s="9">
        <f>F9*(1+$B$38)</f>
        <v>73800</v>
      </c>
      <c r="H9" s="9">
        <f>G9*(1+$B$38)</f>
        <v>75645</v>
      </c>
      <c r="I9" s="9">
        <f>H9*(1+$B$38)</f>
        <v>77536.125</v>
      </c>
      <c r="J9" s="9">
        <f>I9*(1+$B$38)</f>
        <v>79474.528124999997</v>
      </c>
      <c r="K9" s="9">
        <f>J9*(1+$B$38)</f>
        <v>81461.391328124984</v>
      </c>
      <c r="L9" s="9">
        <f>K9*(1+$B$38)</f>
        <v>83497.926111328095</v>
      </c>
      <c r="M9" s="9">
        <f>L9*(1+$B$38)</f>
        <v>85585.374264111291</v>
      </c>
      <c r="N9" s="9">
        <f>M9*(1+$B$38)</f>
        <v>87725.00862071407</v>
      </c>
      <c r="O9" s="9">
        <f>N9*(1+$B$38)</f>
        <v>89918.133836231907</v>
      </c>
    </row>
    <row r="10" spans="1:15" x14ac:dyDescent="0.2">
      <c r="A10" s="2" t="s">
        <v>20</v>
      </c>
      <c r="B10" s="3"/>
      <c r="D10" s="15" t="s">
        <v>21</v>
      </c>
      <c r="F10" s="16">
        <f>F8+F9</f>
        <v>702360</v>
      </c>
      <c r="G10" s="16">
        <f>G8+G9</f>
        <v>799455.60000000009</v>
      </c>
      <c r="H10" s="16">
        <f>H8+H9</f>
        <v>823070.26800000016</v>
      </c>
      <c r="I10" s="16">
        <f>I8+I9</f>
        <v>847384.15104000014</v>
      </c>
      <c r="J10" s="16">
        <f t="shared" ref="J10:N10" si="3">J8+J9</f>
        <v>872417.99494620005</v>
      </c>
      <c r="K10" s="16">
        <f t="shared" si="3"/>
        <v>898193.16215396137</v>
      </c>
      <c r="L10" s="16">
        <f t="shared" si="3"/>
        <v>924731.65006193926</v>
      </c>
      <c r="M10" s="16">
        <f t="shared" si="3"/>
        <v>952056.10993324092</v>
      </c>
      <c r="N10" s="16">
        <f t="shared" si="3"/>
        <v>980189.86635991756</v>
      </c>
      <c r="O10" s="17">
        <f>O8+O9</f>
        <v>1009156.9373076116</v>
      </c>
    </row>
    <row r="11" spans="1:15" x14ac:dyDescent="0.2">
      <c r="A11" s="5" t="s">
        <v>22</v>
      </c>
      <c r="B11" s="19">
        <v>10000000</v>
      </c>
      <c r="C11" s="20"/>
      <c r="D11" s="5"/>
      <c r="O11" s="21"/>
    </row>
    <row r="12" spans="1:15" x14ac:dyDescent="0.2">
      <c r="A12" s="5" t="s">
        <v>23</v>
      </c>
      <c r="B12" s="22">
        <v>0.02</v>
      </c>
      <c r="C12" s="20"/>
      <c r="D12" s="5" t="s">
        <v>24</v>
      </c>
      <c r="E12" s="23">
        <f>$B$32</f>
        <v>0.85</v>
      </c>
      <c r="F12" s="23">
        <f>$B$32</f>
        <v>0.85</v>
      </c>
      <c r="G12" s="23">
        <f>$B$33</f>
        <v>0.95</v>
      </c>
      <c r="H12" s="23">
        <f>$B$33</f>
        <v>0.95</v>
      </c>
      <c r="I12" s="23">
        <f>$B$33</f>
        <v>0.95</v>
      </c>
      <c r="J12" s="23">
        <f>$B$33</f>
        <v>0.95</v>
      </c>
      <c r="K12" s="23">
        <f>$B$33</f>
        <v>0.95</v>
      </c>
      <c r="L12" s="23">
        <f>$B$33</f>
        <v>0.95</v>
      </c>
      <c r="M12" s="23">
        <f>$B$33</f>
        <v>0.95</v>
      </c>
      <c r="N12" s="23">
        <f>$B$33</f>
        <v>0.95</v>
      </c>
      <c r="O12" s="24">
        <f>$B$33</f>
        <v>0.95</v>
      </c>
    </row>
    <row r="13" spans="1:15" x14ac:dyDescent="0.2">
      <c r="A13" s="15" t="s">
        <v>25</v>
      </c>
      <c r="B13" s="50">
        <f>B11*(1+B12)</f>
        <v>10200000</v>
      </c>
      <c r="C13" s="20"/>
      <c r="D13" s="25" t="s">
        <v>26</v>
      </c>
      <c r="E13" s="26">
        <f>$B$34</f>
        <v>3000</v>
      </c>
      <c r="F13" s="26">
        <f>E13*(1+$B$35)</f>
        <v>3090</v>
      </c>
      <c r="G13" s="26">
        <f>F13*(1+$B$35)</f>
        <v>3182.7000000000003</v>
      </c>
      <c r="H13" s="26">
        <f>G13*(1+$B$35)</f>
        <v>3278.1810000000005</v>
      </c>
      <c r="I13" s="26">
        <f>H13*(1+$B$35)</f>
        <v>3376.5264300000008</v>
      </c>
      <c r="J13" s="26">
        <f>I13*(1+$B$35)</f>
        <v>3477.8222229000007</v>
      </c>
      <c r="K13" s="26">
        <f>J13*(1+$B$35)</f>
        <v>3582.1568895870009</v>
      </c>
      <c r="L13" s="26">
        <f>K13*(1+$B$35)</f>
        <v>3689.621596274611</v>
      </c>
      <c r="M13" s="26">
        <f>L13*(1+$B$35)</f>
        <v>3800.3102441628494</v>
      </c>
      <c r="N13" s="26">
        <f>M13*(1+$B$35)</f>
        <v>3914.3195514877348</v>
      </c>
      <c r="O13" s="27">
        <f>N13*(1+$B$35)</f>
        <v>4031.7491380323668</v>
      </c>
    </row>
    <row r="14" spans="1:15" x14ac:dyDescent="0.2">
      <c r="A14" s="5" t="s">
        <v>27</v>
      </c>
      <c r="B14" s="22">
        <v>0.05</v>
      </c>
      <c r="C14" s="20"/>
      <c r="D14" s="28" t="s">
        <v>28</v>
      </c>
      <c r="E14" s="29" t="s">
        <v>29</v>
      </c>
      <c r="F14" s="52">
        <f>$B$35</f>
        <v>0.03</v>
      </c>
      <c r="G14" s="30">
        <f>$B$35</f>
        <v>0.03</v>
      </c>
      <c r="H14" s="30">
        <f>$B$35</f>
        <v>0.03</v>
      </c>
      <c r="I14" s="30">
        <f>$B$35</f>
        <v>0.03</v>
      </c>
      <c r="J14" s="30">
        <f>$B$35</f>
        <v>0.03</v>
      </c>
      <c r="K14" s="30">
        <f>$B$35</f>
        <v>0.03</v>
      </c>
      <c r="L14" s="30">
        <f>$B$35</f>
        <v>0.03</v>
      </c>
      <c r="M14" s="30">
        <f>$B$35</f>
        <v>0.03</v>
      </c>
      <c r="N14" s="30">
        <f>$B$35</f>
        <v>0.03</v>
      </c>
      <c r="O14" s="31">
        <f>$B$35</f>
        <v>0.03</v>
      </c>
    </row>
    <row r="15" spans="1:15" x14ac:dyDescent="0.2">
      <c r="A15" s="5" t="s">
        <v>30</v>
      </c>
      <c r="B15" s="27">
        <f>B11/B7</f>
        <v>500000</v>
      </c>
      <c r="C15" s="26"/>
      <c r="D15" s="18"/>
    </row>
    <row r="16" spans="1:15" outlineLevel="1" x14ac:dyDescent="0.2">
      <c r="A16" s="13" t="s">
        <v>31</v>
      </c>
      <c r="B16" s="32">
        <f>B11/B8</f>
        <v>1000</v>
      </c>
      <c r="C16" s="26"/>
      <c r="D16" s="2" t="s">
        <v>32</v>
      </c>
      <c r="E16" s="8"/>
      <c r="F16" s="8"/>
      <c r="G16" s="8"/>
      <c r="H16" s="8"/>
      <c r="I16" s="8"/>
      <c r="J16" s="8"/>
      <c r="K16" s="8"/>
      <c r="L16" s="8"/>
      <c r="M16" s="8"/>
      <c r="N16" s="8"/>
      <c r="O16" s="3"/>
    </row>
    <row r="17" spans="1:15" outlineLevel="1" x14ac:dyDescent="0.2">
      <c r="A17" s="18"/>
      <c r="B17" s="18"/>
      <c r="C17" s="18"/>
      <c r="D17" s="5" t="s">
        <v>33</v>
      </c>
      <c r="F17" s="9">
        <f>$B$42*$B$7*12</f>
        <v>288000</v>
      </c>
      <c r="G17" s="9">
        <f>F17*(1+$B$43)</f>
        <v>295200</v>
      </c>
      <c r="H17" s="9">
        <f>G17*(1+$B$43)</f>
        <v>302580</v>
      </c>
      <c r="I17" s="9">
        <f>H17*(1+$B$43)</f>
        <v>310144.5</v>
      </c>
      <c r="J17" s="9">
        <f>I17*(1+$B$43)</f>
        <v>317898.11249999999</v>
      </c>
      <c r="K17" s="9">
        <f>J17*(1+$B$43)</f>
        <v>325845.56531249994</v>
      </c>
      <c r="L17" s="9">
        <f>K17*(1+$B$43)</f>
        <v>333991.70444531238</v>
      </c>
      <c r="M17" s="9">
        <f>L17*(1+$B$43)</f>
        <v>342341.49705644517</v>
      </c>
      <c r="N17" s="9">
        <f>M17*(1+$B$43)</f>
        <v>350900.03448285628</v>
      </c>
      <c r="O17" s="10">
        <f>N17*(1+$B$43)</f>
        <v>359672.53534492763</v>
      </c>
    </row>
    <row r="18" spans="1:15" outlineLevel="1" x14ac:dyDescent="0.2">
      <c r="A18" s="2" t="s">
        <v>34</v>
      </c>
      <c r="B18" s="3"/>
      <c r="D18" s="5" t="s">
        <v>35</v>
      </c>
      <c r="F18" s="9">
        <f>F10*$B$44</f>
        <v>28094.400000000001</v>
      </c>
      <c r="G18" s="9">
        <f>G10*$B$44</f>
        <v>31978.224000000006</v>
      </c>
      <c r="H18" s="9">
        <f>H10*$B$44</f>
        <v>32922.810720000009</v>
      </c>
      <c r="I18" s="9">
        <f>I10*$B$44</f>
        <v>33895.366041600006</v>
      </c>
      <c r="J18" s="9">
        <f>J10*$B$44</f>
        <v>34896.719797848004</v>
      </c>
      <c r="K18" s="9">
        <f>K10*$B$44</f>
        <v>35927.726486158455</v>
      </c>
      <c r="L18" s="9">
        <f>L10*$B$44</f>
        <v>36989.266002477569</v>
      </c>
      <c r="M18" s="9">
        <f>M10*$B$44</f>
        <v>38082.244397329639</v>
      </c>
      <c r="N18" s="9">
        <f>N10*$B$44</f>
        <v>39207.5946543967</v>
      </c>
      <c r="O18" s="39">
        <f>O10*$B$44</f>
        <v>40366.277492304464</v>
      </c>
    </row>
    <row r="19" spans="1:15" x14ac:dyDescent="0.2">
      <c r="A19" s="5" t="s">
        <v>36</v>
      </c>
      <c r="B19" s="22">
        <v>0.65</v>
      </c>
      <c r="C19" s="33"/>
      <c r="D19" s="15" t="s">
        <v>37</v>
      </c>
      <c r="F19" s="16">
        <f>F17+F18</f>
        <v>316094.40000000002</v>
      </c>
      <c r="G19" s="16">
        <f>G17+G18</f>
        <v>327178.22399999999</v>
      </c>
      <c r="H19" s="16">
        <f>H17+H18</f>
        <v>335502.81072000001</v>
      </c>
      <c r="I19" s="16">
        <f>I17+I18</f>
        <v>344039.86604160001</v>
      </c>
      <c r="J19" s="16">
        <f t="shared" ref="J19:N19" si="4">J17+J18</f>
        <v>352794.83229784801</v>
      </c>
      <c r="K19" s="16">
        <f t="shared" si="4"/>
        <v>361773.29179865838</v>
      </c>
      <c r="L19" s="16">
        <f t="shared" si="4"/>
        <v>370980.97044778994</v>
      </c>
      <c r="M19" s="16">
        <f t="shared" si="4"/>
        <v>380423.7414537748</v>
      </c>
      <c r="N19" s="16">
        <f t="shared" si="4"/>
        <v>390107.62913725298</v>
      </c>
      <c r="O19" s="17">
        <f>O17+O18</f>
        <v>400038.81283723208</v>
      </c>
    </row>
    <row r="20" spans="1:15" x14ac:dyDescent="0.2">
      <c r="A20" s="5" t="s">
        <v>38</v>
      </c>
      <c r="B20" s="27">
        <f>B11*B19</f>
        <v>6500000</v>
      </c>
      <c r="C20" s="26"/>
      <c r="D20" s="13" t="s">
        <v>39</v>
      </c>
      <c r="E20" s="34"/>
      <c r="F20" s="30">
        <f>IF(F10=0,0,F19/F10)</f>
        <v>0.45004613018964634</v>
      </c>
      <c r="G20" s="30">
        <f>IF(G10=0,0,G19/G10)</f>
        <v>0.40925127549297291</v>
      </c>
      <c r="H20" s="30">
        <f>IF(H10=0,0,H19/H10)</f>
        <v>0.4076235332072522</v>
      </c>
      <c r="I20" s="30">
        <f>IF(I10=0,0,I19/I10)</f>
        <v>0.40600224304332055</v>
      </c>
      <c r="J20" s="30">
        <f t="shared" ref="J20:N20" si="5">IF(J10=0,0,J19/J10)</f>
        <v>0.40438738579619055</v>
      </c>
      <c r="K20" s="30">
        <f t="shared" si="5"/>
        <v>0.40277894226124822</v>
      </c>
      <c r="L20" s="30">
        <f t="shared" si="5"/>
        <v>0.40117689323485506</v>
      </c>
      <c r="M20" s="30">
        <f t="shared" si="5"/>
        <v>0.39958121951494063</v>
      </c>
      <c r="N20" s="30">
        <f t="shared" si="5"/>
        <v>0.39799190190159411</v>
      </c>
      <c r="O20" s="31">
        <f>IF(O10=0,0,O19/O10)</f>
        <v>0.39640892119764731</v>
      </c>
    </row>
    <row r="21" spans="1:15" x14ac:dyDescent="0.2">
      <c r="A21" s="5" t="s">
        <v>40</v>
      </c>
      <c r="B21" s="22">
        <v>5.5E-2</v>
      </c>
      <c r="C21" s="33"/>
      <c r="D21" s="18"/>
    </row>
    <row r="22" spans="1:15" x14ac:dyDescent="0.2">
      <c r="A22" s="5" t="s">
        <v>41</v>
      </c>
      <c r="B22" s="11">
        <v>30</v>
      </c>
      <c r="C22" s="12"/>
      <c r="D22" s="2" t="s">
        <v>42</v>
      </c>
      <c r="E22" s="8"/>
      <c r="F22" s="8"/>
      <c r="G22" s="8"/>
      <c r="H22" s="8"/>
      <c r="I22" s="8"/>
      <c r="J22" s="8"/>
      <c r="K22" s="8"/>
      <c r="L22" s="8"/>
      <c r="M22" s="8"/>
      <c r="N22" s="8"/>
      <c r="O22" s="3"/>
    </row>
    <row r="23" spans="1:15" x14ac:dyDescent="0.2">
      <c r="A23" s="5" t="s">
        <v>43</v>
      </c>
      <c r="B23" s="11">
        <v>2</v>
      </c>
      <c r="C23" s="12"/>
      <c r="D23" s="15" t="s">
        <v>44</v>
      </c>
      <c r="F23" s="16">
        <f>F10-F19</f>
        <v>386265.59999999998</v>
      </c>
      <c r="G23" s="16">
        <f>G10-G19</f>
        <v>472277.37600000011</v>
      </c>
      <c r="H23" s="16">
        <f>H10-H19</f>
        <v>487567.45728000015</v>
      </c>
      <c r="I23" s="16">
        <f>I10-I19</f>
        <v>503344.28499840014</v>
      </c>
      <c r="J23" s="16">
        <f t="shared" ref="J23:N23" si="6">J10-J19</f>
        <v>519623.16264835204</v>
      </c>
      <c r="K23" s="16">
        <f t="shared" si="6"/>
        <v>536419.87035530293</v>
      </c>
      <c r="L23" s="16">
        <f t="shared" si="6"/>
        <v>553750.67961414927</v>
      </c>
      <c r="M23" s="16">
        <f t="shared" si="6"/>
        <v>571632.36847946607</v>
      </c>
      <c r="N23" s="16">
        <f t="shared" si="6"/>
        <v>590082.23722266452</v>
      </c>
      <c r="O23" s="17">
        <f>O10-O19</f>
        <v>609118.12447037944</v>
      </c>
    </row>
    <row r="24" spans="1:15" x14ac:dyDescent="0.2">
      <c r="A24" s="35" t="s">
        <v>47</v>
      </c>
      <c r="B24" s="36">
        <f>B13-B20</f>
        <v>3700000</v>
      </c>
      <c r="C24" s="26"/>
      <c r="D24" s="5" t="s">
        <v>45</v>
      </c>
      <c r="F24" s="23">
        <f>IF(F10=0,0,F23/F10)</f>
        <v>0.54995386981035366</v>
      </c>
      <c r="G24" s="23">
        <f>IF(G10=0,0,G23/G10)</f>
        <v>0.59074872450702709</v>
      </c>
      <c r="H24" s="23">
        <f>IF(H10=0,0,H23/H10)</f>
        <v>0.5923764667927478</v>
      </c>
      <c r="I24" s="23">
        <f>IF(I10=0,0,I23/I10)</f>
        <v>0.59399775695667945</v>
      </c>
      <c r="J24" s="23">
        <f t="shared" ref="J24:N24" si="7">IF(J10=0,0,J23/J10)</f>
        <v>0.59561261420380951</v>
      </c>
      <c r="K24" s="23">
        <f t="shared" si="7"/>
        <v>0.59722105773875167</v>
      </c>
      <c r="L24" s="23">
        <f t="shared" si="7"/>
        <v>0.59882310676514494</v>
      </c>
      <c r="M24" s="23">
        <f t="shared" si="7"/>
        <v>0.60041878048505926</v>
      </c>
      <c r="N24" s="23">
        <f t="shared" si="7"/>
        <v>0.60200809809840583</v>
      </c>
      <c r="O24" s="24">
        <f>IF(O10=0,0,O23/O10)</f>
        <v>0.60359107880235263</v>
      </c>
    </row>
    <row r="25" spans="1:15" x14ac:dyDescent="0.2">
      <c r="C25" s="26"/>
      <c r="D25" s="13" t="s">
        <v>46</v>
      </c>
      <c r="E25" s="34"/>
      <c r="F25" s="30">
        <f>F23/$B$13</f>
        <v>3.7869176470588232E-2</v>
      </c>
      <c r="G25" s="30">
        <f>G23/$B$13</f>
        <v>4.6301703529411778E-2</v>
      </c>
      <c r="H25" s="30">
        <f>H23/$B$13</f>
        <v>4.7800731105882364E-2</v>
      </c>
      <c r="I25" s="30">
        <f>I23/$B$13</f>
        <v>4.934747892141178E-2</v>
      </c>
      <c r="J25" s="30">
        <f t="shared" ref="J25:N25" si="8">J23/$B$13</f>
        <v>5.0943447318465888E-2</v>
      </c>
      <c r="K25" s="30">
        <f t="shared" si="8"/>
        <v>5.2590183368166954E-2</v>
      </c>
      <c r="L25" s="30">
        <f t="shared" si="8"/>
        <v>5.4289282315112673E-2</v>
      </c>
      <c r="M25" s="30">
        <f t="shared" si="8"/>
        <v>5.6042389066614323E-2</v>
      </c>
      <c r="N25" s="30">
        <f t="shared" si="8"/>
        <v>5.7851199727712209E-2</v>
      </c>
      <c r="O25" s="31">
        <f>O23/$B$13</f>
        <v>5.9717463183370532E-2</v>
      </c>
    </row>
    <row r="26" spans="1:15" x14ac:dyDescent="0.2">
      <c r="A26" s="2" t="s">
        <v>49</v>
      </c>
      <c r="B26" s="3"/>
      <c r="C26" s="37"/>
      <c r="D26" s="18"/>
    </row>
    <row r="27" spans="1:15" x14ac:dyDescent="0.2">
      <c r="A27" s="5" t="s">
        <v>51</v>
      </c>
      <c r="B27" s="22">
        <f>B14</f>
        <v>0.05</v>
      </c>
      <c r="C27" s="18"/>
      <c r="D27" s="2" t="s">
        <v>48</v>
      </c>
      <c r="E27" s="8"/>
      <c r="F27" s="8"/>
      <c r="G27" s="8"/>
      <c r="H27" s="8"/>
      <c r="I27" s="8"/>
      <c r="J27" s="8"/>
      <c r="K27" s="8"/>
      <c r="L27" s="8"/>
      <c r="M27" s="8"/>
      <c r="N27" s="8"/>
      <c r="O27" s="3"/>
    </row>
    <row r="28" spans="1:15" x14ac:dyDescent="0.2">
      <c r="A28" s="5" t="s">
        <v>52</v>
      </c>
      <c r="B28" s="22">
        <v>0.02</v>
      </c>
      <c r="D28" s="13" t="s">
        <v>50</v>
      </c>
      <c r="E28" s="34"/>
      <c r="F28" s="38">
        <f>$B$46*$B$7</f>
        <v>36000</v>
      </c>
      <c r="G28" s="38">
        <f>F28*(1+$B$47)</f>
        <v>36720</v>
      </c>
      <c r="H28" s="38">
        <f>G28*(1+$B$47)</f>
        <v>37454.400000000001</v>
      </c>
      <c r="I28" s="38">
        <f>H28*(1+$B$47)</f>
        <v>38203.488000000005</v>
      </c>
      <c r="J28" s="38">
        <f>I28*(1+$B$47)</f>
        <v>38967.557760000003</v>
      </c>
      <c r="K28" s="38">
        <f>J28*(1+$B$47)</f>
        <v>39746.908915200002</v>
      </c>
      <c r="L28" s="38">
        <f>K28*(1+$B$47)</f>
        <v>40541.847093504002</v>
      </c>
      <c r="M28" s="38">
        <f>L28*(1+$B$47)</f>
        <v>41352.684035374084</v>
      </c>
      <c r="N28" s="38">
        <f>M28*(1+$B$47)</f>
        <v>42179.737716081567</v>
      </c>
      <c r="O28" s="39">
        <f>N28*(1+$B$47)</f>
        <v>43023.332470403198</v>
      </c>
    </row>
    <row r="29" spans="1:15" x14ac:dyDescent="0.2">
      <c r="A29" s="13" t="s">
        <v>54</v>
      </c>
      <c r="B29" s="14">
        <v>5</v>
      </c>
      <c r="C29" s="33"/>
      <c r="D29" s="18"/>
    </row>
    <row r="30" spans="1:15" x14ac:dyDescent="0.2">
      <c r="A30" s="18"/>
      <c r="C30" s="33"/>
      <c r="D30" s="2" t="s">
        <v>53</v>
      </c>
      <c r="E30" s="8"/>
      <c r="F30" s="8"/>
      <c r="G30" s="8"/>
      <c r="H30" s="8"/>
      <c r="I30" s="8"/>
      <c r="J30" s="8"/>
      <c r="K30" s="8"/>
      <c r="L30" s="8"/>
      <c r="M30" s="8"/>
      <c r="N30" s="8"/>
      <c r="O30" s="3"/>
    </row>
    <row r="31" spans="1:15" x14ac:dyDescent="0.2">
      <c r="A31" s="2" t="s">
        <v>57</v>
      </c>
      <c r="B31" s="3"/>
      <c r="C31" s="12"/>
      <c r="D31" s="5" t="s">
        <v>55</v>
      </c>
      <c r="F31" s="26">
        <f>IF(COLUMN()-COLUMN($E$31)&gt;$B$29,"-",F35*$B$21)</f>
        <v>357500</v>
      </c>
      <c r="G31" s="26">
        <f>IF(COLUMN()-COLUMN($E$31)&gt;$B$29,"-",G35*$B$21)</f>
        <v>357500</v>
      </c>
      <c r="H31" s="26">
        <f>IF(COLUMN()-COLUMN($E$31)&gt;$B$29,"-",H35*$B$21)</f>
        <v>357500</v>
      </c>
      <c r="I31" s="26">
        <f>IF(COLUMN()-COLUMN($E$31)&gt;$B$29,"-",I35*$B$21)</f>
        <v>351832.32544979226</v>
      </c>
      <c r="J31" s="26">
        <f>IF(COLUMN()-COLUMN($E$31)&gt;$B$29,"-",J35*$B$21)</f>
        <v>345844.94950484572</v>
      </c>
      <c r="K31" s="26" t="str">
        <f>IF(COLUMN()-COLUMN($E$31)&gt;$B$29,"-",K35*$B$21)</f>
        <v>-</v>
      </c>
      <c r="L31" s="26" t="str">
        <f>IF(COLUMN()-COLUMN($E$31)&gt;$B$29,"-",L35*$B$21)</f>
        <v>-</v>
      </c>
      <c r="M31" s="26" t="str">
        <f>IF(COLUMN()-COLUMN($E$31)&gt;$B$29,"-",M35*$B$21)</f>
        <v>-</v>
      </c>
      <c r="N31" s="26" t="str">
        <f>IF(COLUMN()-COLUMN($E$31)&gt;$B$29,"-",N35*$B$21)</f>
        <v>-</v>
      </c>
      <c r="O31" s="27" t="str">
        <f>IF(COLUMN()-COLUMN($E$31)&gt;$B$29,"-",O35*$B$21)</f>
        <v>-</v>
      </c>
    </row>
    <row r="32" spans="1:15" x14ac:dyDescent="0.2">
      <c r="A32" s="5" t="s">
        <v>59</v>
      </c>
      <c r="B32" s="22">
        <v>0.85</v>
      </c>
      <c r="D32" s="5" t="s">
        <v>56</v>
      </c>
      <c r="F32" s="26">
        <f>IF(COLUMN()-COLUMN($E$32)&gt;$B$29,"-",IF(COLUMN(F32)-COLUMN($F$32)+1&lt;=$B$23, 0, -PPMT($B$21/12, (COLUMN(F32)-COLUMN($F$32)+1-$B$23)*12, ($B$22-$B$23)*12, $B$20)*12))</f>
        <v>0</v>
      </c>
      <c r="G32" s="26">
        <f>IF(COLUMN()-COLUMN($E$32)&gt;$B$29,"-",IF(COLUMN(G32)-COLUMN($F$32)+1&lt;=$B$23, 0, -PPMT($B$21/12, (COLUMN(G32)-COLUMN($F$32)+1-$B$23)*12, ($B$22-$B$23)*12, $B$20)*12))</f>
        <v>0</v>
      </c>
      <c r="H32" s="26">
        <f>IF(COLUMN()-COLUMN($E$32)&gt;$B$29,"-",IF(COLUMN(H32)-COLUMN($F$32)+1&lt;=$B$23, 0, -PPMT($B$21/12, (COLUMN(H32)-COLUMN($F$32)+1-$B$23)*12, ($B$22-$B$23)*12, $B$20)*12))</f>
        <v>103048.62818559544</v>
      </c>
      <c r="I32" s="26">
        <f>IF(COLUMN()-COLUMN($E$32)&gt;$B$29,"-",IF(COLUMN(I32)-COLUMN($F$32)+1&lt;=$B$23, 0, -PPMT($B$21/12, (COLUMN(I32)-COLUMN($F$32)+1-$B$23)*12, ($B$22-$B$23)*12, $B$20)*12))</f>
        <v>108861.38081720944</v>
      </c>
      <c r="J32" s="26">
        <f>IF(COLUMN()-COLUMN($E$32)&gt;$B$29,"-",IF(COLUMN(J32)-COLUMN($F$32)+1&lt;=$B$23, 0, -PPMT($B$21/12, (COLUMN(J32)-COLUMN($F$32)+1-$B$23)*12, ($B$22-$B$23)*12, $B$20)*12))</f>
        <v>115002.01838772319</v>
      </c>
      <c r="K32" s="26" t="str">
        <f>IF(COLUMN()-COLUMN($E$32)&gt;$B$29,"-",IF(COLUMN(K32)-COLUMN($F$32)+1&lt;=$B$23, 0, -PPMT($B$21/12, (COLUMN(K32)-COLUMN($F$32)+1-$B$23)*12, ($B$22-$B$23)*12, $B$20)*12))</f>
        <v>-</v>
      </c>
      <c r="L32" s="26" t="str">
        <f>IF(COLUMN()-COLUMN($E$32)&gt;$B$29,"-",IF(COLUMN(L32)-COLUMN($F$32)+1&lt;=$B$23, 0, -PPMT($B$21/12, (COLUMN(L32)-COLUMN($F$32)+1-$B$23)*12, ($B$22-$B$23)*12, $B$20)*12))</f>
        <v>-</v>
      </c>
      <c r="M32" s="26" t="str">
        <f>IF(COLUMN()-COLUMN($E$32)&gt;$B$29,"-",IF(COLUMN(M32)-COLUMN($F$32)+1&lt;=$B$23, 0, -PPMT($B$21/12, (COLUMN(M32)-COLUMN($F$32)+1-$B$23)*12, ($B$22-$B$23)*12, $B$20)*12))</f>
        <v>-</v>
      </c>
      <c r="N32" s="26" t="str">
        <f>IF(COLUMN()-COLUMN($E$32)&gt;$B$29,"-",IF(COLUMN(N32)-COLUMN($F$32)+1&lt;=$B$23, 0, -PPMT($B$21/12, (COLUMN(N32)-COLUMN($F$32)+1-$B$23)*12, ($B$22-$B$23)*12, $B$20)*12))</f>
        <v>-</v>
      </c>
      <c r="O32" s="27" t="str">
        <f>IF(COLUMN()-COLUMN($E$32)&gt;$B$29,"-",IF(COLUMN(O32)-COLUMN($F$32)+1&lt;=$B$23, 0, -PPMT($B$21/12, (COLUMN(O32)-COLUMN($F$32)+1-$B$23)*12, ($B$22-$B$23)*12, $B$20)*12))</f>
        <v>-</v>
      </c>
    </row>
    <row r="33" spans="1:15" x14ac:dyDescent="0.2">
      <c r="A33" s="5" t="s">
        <v>61</v>
      </c>
      <c r="B33" s="22">
        <v>0.95</v>
      </c>
      <c r="D33" s="15" t="s">
        <v>58</v>
      </c>
      <c r="F33" s="57">
        <f>IF(COLUMN()-COLUMN($E$33)&gt;$B$29,"-",F31+F32)</f>
        <v>357500</v>
      </c>
      <c r="G33" s="57">
        <f>IF(COLUMN()-COLUMN($E$33)&gt;$B$29,"-",G31+G32)</f>
        <v>357500</v>
      </c>
      <c r="H33" s="57">
        <f>IF(COLUMN()-COLUMN($E$33)&gt;$B$29,"-",H31+H32)</f>
        <v>460548.62818559544</v>
      </c>
      <c r="I33" s="57">
        <f>IF(COLUMN()-COLUMN($E$33)&gt;$B$29,"-",I31+I32)</f>
        <v>460693.70626700169</v>
      </c>
      <c r="J33" s="57">
        <f>IF(COLUMN()-COLUMN($E$33)&gt;$B$29,"-",J31+J32)</f>
        <v>460846.96789256891</v>
      </c>
      <c r="K33" s="57" t="str">
        <f>IF(COLUMN()-COLUMN($E$33)&gt;$B$29,"-",K31+K32)</f>
        <v>-</v>
      </c>
      <c r="L33" s="57" t="str">
        <f>IF(COLUMN()-COLUMN($E$33)&gt;$B$29,"-",L31+L32)</f>
        <v>-</v>
      </c>
      <c r="M33" s="57" t="str">
        <f>IF(COLUMN()-COLUMN($E$33)&gt;$B$29,"-",M31+M32)</f>
        <v>-</v>
      </c>
      <c r="N33" s="57" t="str">
        <f>IF(COLUMN()-COLUMN($E$33)&gt;$B$29,"-",N31+N32)</f>
        <v>-</v>
      </c>
      <c r="O33" s="36" t="str">
        <f>IF(COLUMN()-COLUMN($E$33)&gt;$B$29,"-",O31+O32)</f>
        <v>-</v>
      </c>
    </row>
    <row r="34" spans="1:15" x14ac:dyDescent="0.2">
      <c r="A34" s="5" t="s">
        <v>62</v>
      </c>
      <c r="B34" s="19">
        <v>3000</v>
      </c>
      <c r="C34" s="33"/>
      <c r="D34" s="13" t="s">
        <v>60</v>
      </c>
      <c r="E34" s="34"/>
      <c r="F34" s="40">
        <f>IF(COLUMN()-COLUMN($E$34)&gt;$B$29,"-",IF(F33=0,0,F23/F33))</f>
        <v>1.0804632167832167</v>
      </c>
      <c r="G34" s="40">
        <f>IF(COLUMN()-COLUMN($E$34)&gt;$B$29,"-",IF(G33=0,0,G23/G33))</f>
        <v>1.3210555972027975</v>
      </c>
      <c r="H34" s="40">
        <f>IF(COLUMN()-COLUMN($E$34)&gt;$B$29,"-",IF(H33=0,0,H23/H33))</f>
        <v>1.0586666150778685</v>
      </c>
      <c r="I34" s="40">
        <f>IF(COLUMN()-COLUMN($E$34)&gt;$B$29,"-",IF(I33=0,0,I23/I33))</f>
        <v>1.092579034944922</v>
      </c>
      <c r="J34" s="40">
        <f>IF(COLUMN()-COLUMN($E$34)&gt;$B$29,"-",IF(J33=0,0,J23/J33))</f>
        <v>1.1275395062802818</v>
      </c>
      <c r="K34" s="40" t="str">
        <f>IF(COLUMN()-COLUMN($E$34)&gt;$B$29,"-",IF(K33=0,0,K23/K33))</f>
        <v>-</v>
      </c>
      <c r="L34" s="40" t="str">
        <f>IF(COLUMN()-COLUMN($E$34)&gt;$B$29,"-",IF(L33=0,0,L23/L33))</f>
        <v>-</v>
      </c>
      <c r="M34" s="40" t="str">
        <f>IF(COLUMN()-COLUMN($E$34)&gt;$B$29,"-",IF(M33=0,0,M23/M33))</f>
        <v>-</v>
      </c>
      <c r="N34" s="40" t="str">
        <f>IF(COLUMN()-COLUMN($E$34)&gt;$B$29,"-",IF(N33=0,0,N23/N33))</f>
        <v>-</v>
      </c>
      <c r="O34" s="41" t="str">
        <f>IF(COLUMN()-COLUMN($E$34)&gt;$B$29,"-",IF(O33=0,0,O23/O33))</f>
        <v>-</v>
      </c>
    </row>
    <row r="35" spans="1:15" x14ac:dyDescent="0.2">
      <c r="A35" s="5" t="s">
        <v>28</v>
      </c>
      <c r="B35" s="22">
        <v>0.03</v>
      </c>
      <c r="C35" s="33"/>
      <c r="D35" s="5" t="s">
        <v>92</v>
      </c>
      <c r="E35" s="58" t="s">
        <v>29</v>
      </c>
      <c r="F35" s="60">
        <f>IF(COLUMN()-COLUMN($E$35)&gt;$B$29,"-",$B$20)</f>
        <v>6500000</v>
      </c>
      <c r="G35" s="60">
        <f>IF(COLUMN()-COLUMN($E$35)&gt;$B$29,"-",F36)</f>
        <v>6500000</v>
      </c>
      <c r="H35" s="60">
        <f>IF(COLUMN()-COLUMN($E$35)&gt;$B$29,"-",G36)</f>
        <v>6500000</v>
      </c>
      <c r="I35" s="60">
        <f>IF(COLUMN()-COLUMN($E$35)&gt;$B$29,"-",H36)</f>
        <v>6396951.3718144046</v>
      </c>
      <c r="J35" s="60">
        <f>IF(COLUMN()-COLUMN($E$35)&gt;$B$29,"-",I36)</f>
        <v>6288089.9909971952</v>
      </c>
      <c r="K35" s="60" t="str">
        <f>IF(COLUMN()-COLUMN($E$35)&gt;$B$29,"-",J36)</f>
        <v>-</v>
      </c>
      <c r="L35" s="60" t="str">
        <f>IF(COLUMN()-COLUMN($E$35)&gt;$B$29,"-",K36)</f>
        <v>-</v>
      </c>
      <c r="M35" s="60" t="str">
        <f>IF(COLUMN()-COLUMN($E$35)&gt;$B$29,"-",L36)</f>
        <v>-</v>
      </c>
      <c r="N35" s="60" t="str">
        <f>IF(COLUMN()-COLUMN($E$35)&gt;$B$29,"-",M36)</f>
        <v>-</v>
      </c>
      <c r="O35" s="61" t="str">
        <f>IF(COLUMN()-COLUMN($E$35)&gt;$B$29,"-",N36)</f>
        <v>-</v>
      </c>
    </row>
    <row r="36" spans="1:15" x14ac:dyDescent="0.2">
      <c r="A36" s="5" t="s">
        <v>83</v>
      </c>
      <c r="B36" s="22">
        <v>0.1</v>
      </c>
      <c r="C36" s="20"/>
      <c r="D36" s="13" t="s">
        <v>93</v>
      </c>
      <c r="E36" s="59" t="s">
        <v>29</v>
      </c>
      <c r="F36" s="62">
        <f>IF(COLUMN()-COLUMN($E$36)&gt;$B$29,"-",F35-F32)</f>
        <v>6500000</v>
      </c>
      <c r="G36" s="62">
        <f>IF(COLUMN()-COLUMN($E$36)&gt;$B$29,"-",G35-G32)</f>
        <v>6500000</v>
      </c>
      <c r="H36" s="62">
        <f>IF(COLUMN()-COLUMN($E$36)&gt;$B$29,"-",H35-H32)</f>
        <v>6396951.3718144046</v>
      </c>
      <c r="I36" s="62">
        <f>IF(COLUMN()-COLUMN($E$36)&gt;$B$29,"-",I35-I32)</f>
        <v>6288089.9909971952</v>
      </c>
      <c r="J36" s="62">
        <f>IF(COLUMN()-COLUMN($E$36)&gt;$B$29,"-",J35-J32)</f>
        <v>6173087.9726094725</v>
      </c>
      <c r="K36" s="62" t="str">
        <f>IF(COLUMN()-COLUMN($E$36)&gt;$B$29,"-",K35-K32)</f>
        <v>-</v>
      </c>
      <c r="L36" s="62" t="str">
        <f>IF(COLUMN()-COLUMN($E$36)&gt;$B$29,"-",L35-L32)</f>
        <v>-</v>
      </c>
      <c r="M36" s="62" t="str">
        <f>IF(COLUMN()-COLUMN($E$36)&gt;$B$29,"-",M35-M32)</f>
        <v>-</v>
      </c>
      <c r="N36" s="62" t="str">
        <f>IF(COLUMN()-COLUMN($E$36)&gt;$B$29,"-",N35-N32)</f>
        <v>-</v>
      </c>
      <c r="O36" s="63" t="str">
        <f>IF(COLUMN()-COLUMN($E$36)&gt;$B$29,"-",O35-O32)</f>
        <v>-</v>
      </c>
    </row>
    <row r="37" spans="1:15" x14ac:dyDescent="0.2">
      <c r="A37" s="5" t="s">
        <v>65</v>
      </c>
      <c r="B37" s="27">
        <f>B34*B36</f>
        <v>300</v>
      </c>
      <c r="C37" s="33"/>
    </row>
    <row r="38" spans="1:15" x14ac:dyDescent="0.2">
      <c r="A38" s="13" t="s">
        <v>67</v>
      </c>
      <c r="B38" s="42">
        <v>2.5000000000000001E-2</v>
      </c>
      <c r="C38" s="20"/>
      <c r="D38" s="2" t="s">
        <v>63</v>
      </c>
      <c r="E38" s="8"/>
      <c r="F38" s="8"/>
      <c r="G38" s="8"/>
      <c r="H38" s="8"/>
      <c r="I38" s="8"/>
      <c r="J38" s="8"/>
      <c r="K38" s="8"/>
      <c r="L38" s="8"/>
      <c r="M38" s="8"/>
      <c r="N38" s="8"/>
      <c r="O38" s="3"/>
    </row>
    <row r="39" spans="1:15" x14ac:dyDescent="0.2">
      <c r="A39" s="53"/>
      <c r="B39" s="54"/>
      <c r="C39" s="33"/>
      <c r="D39" s="5" t="s">
        <v>64</v>
      </c>
      <c r="E39" s="66">
        <f>-$B$13</f>
        <v>-10200000</v>
      </c>
      <c r="F39" s="67" t="s">
        <v>29</v>
      </c>
      <c r="G39" s="67" t="s">
        <v>29</v>
      </c>
      <c r="H39" s="67" t="s">
        <v>29</v>
      </c>
      <c r="I39" s="67" t="s">
        <v>29</v>
      </c>
      <c r="J39" s="67" t="s">
        <v>29</v>
      </c>
      <c r="K39" s="67" t="s">
        <v>29</v>
      </c>
      <c r="L39" s="67" t="s">
        <v>29</v>
      </c>
      <c r="M39" s="67" t="s">
        <v>29</v>
      </c>
      <c r="N39" s="67" t="s">
        <v>29</v>
      </c>
      <c r="O39" s="68" t="s">
        <v>29</v>
      </c>
    </row>
    <row r="40" spans="1:15" x14ac:dyDescent="0.2">
      <c r="A40" s="2" t="s">
        <v>70</v>
      </c>
      <c r="B40" s="3"/>
      <c r="D40" s="5" t="s">
        <v>66</v>
      </c>
      <c r="E40" s="67" t="str" cm="1">
        <f t="array" aca="1" ref="E40" ca="1">IF(COLUMN()-COLUMN($E$40)=$B$29, (INDIRECT(ADDRESS(ROW()-17,COLUMN()))*(1+$B$35))/$B$27*(1-$B$28), "-")</f>
        <v>-</v>
      </c>
      <c r="F40" s="67" t="str" cm="1">
        <f t="array" aca="1" ref="F40" ca="1">IF(COLUMN()-COLUMN($E$40)=$B$29, (INDIRECT(ADDRESS(ROW()-17,COLUMN()))*(1+$B$35))/$B$27*(1-$B$28), "-")</f>
        <v>-</v>
      </c>
      <c r="G40" s="67" t="str" cm="1">
        <f t="array" aca="1" ref="G40" ca="1">IF(COLUMN()-COLUMN($E$40)=$B$29, (INDIRECT(ADDRESS(ROW()-17,COLUMN()))*(1+$B$35))/$B$27*(1-$B$28), "-")</f>
        <v>-</v>
      </c>
      <c r="H40" s="67" t="str" cm="1">
        <f t="array" aca="1" ref="H40" ca="1">IF(COLUMN()-COLUMN($E$40)=$B$29, (INDIRECT(ADDRESS(ROW()-17,COLUMN()))*(1+$B$35))/$B$27*(1-$B$28), "-")</f>
        <v>-</v>
      </c>
      <c r="I40" s="67" t="str" cm="1">
        <f t="array" aca="1" ref="I40" ca="1">IF(COLUMN()-COLUMN($E$40)=$B$29, (INDIRECT(ADDRESS(ROW()-17,COLUMN()))*(1+$B$35))/$B$27*(1-$B$28), "-")</f>
        <v>-</v>
      </c>
      <c r="J40" s="67" cm="1">
        <f t="array" aca="1" ref="J40" ca="1">IF(COLUMN()-COLUMN($E$40)=$B$29, (INDIRECT(ADDRESS(ROW()-17,COLUMN()))*(1+$B$35))/$B$27*(1-$B$28), "-")</f>
        <v>10490152.40754493</v>
      </c>
      <c r="K40" s="67" t="str" cm="1">
        <f t="array" aca="1" ref="K40" ca="1">IF(COLUMN()-COLUMN($E$40)=$B$29, (INDIRECT(ADDRESS(ROW()-17,COLUMN()))*(1+$B$35))/$B$27*(1-$B$28), "-")</f>
        <v>-</v>
      </c>
      <c r="L40" s="67" t="str" cm="1">
        <f t="array" aca="1" ref="L40" ca="1">IF(COLUMN()-COLUMN($E$40)=$B$29, (INDIRECT(ADDRESS(ROW()-17,COLUMN()))*(1+$B$35))/$B$27*(1-$B$28), "-")</f>
        <v>-</v>
      </c>
      <c r="M40" s="67" t="str" cm="1">
        <f t="array" aca="1" ref="M40" ca="1">IF(COLUMN()-COLUMN($E$40)=$B$29, (INDIRECT(ADDRESS(ROW()-17,COLUMN()))*(1+$B$35))/$B$27*(1-$B$28), "-")</f>
        <v>-</v>
      </c>
      <c r="N40" s="67" t="str" cm="1">
        <f t="array" aca="1" ref="N40" ca="1">IF(COLUMN()-COLUMN($E$40)=$B$29, (INDIRECT(ADDRESS(ROW()-17,COLUMN()))*(1+$B$35))/$B$27*(1-$B$28), "-")</f>
        <v>-</v>
      </c>
      <c r="O40" s="69" t="str" cm="1">
        <f t="array" aca="1" ref="O40" ca="1">IF(COLUMN()-COLUMN($E$40)=$B$29, (INDIRECT(ADDRESS(ROW()-17,COLUMN()))*(1+$B$35))/$B$27*(1-$B$28), "-")</f>
        <v>-</v>
      </c>
    </row>
    <row r="41" spans="1:15" x14ac:dyDescent="0.2">
      <c r="A41" s="51" t="s">
        <v>84</v>
      </c>
      <c r="B41" s="22">
        <v>0.4</v>
      </c>
      <c r="D41" s="5" t="s">
        <v>68</v>
      </c>
      <c r="E41" s="66">
        <f>$B$20</f>
        <v>6500000</v>
      </c>
      <c r="F41" s="67" t="s">
        <v>29</v>
      </c>
      <c r="G41" s="67" t="s">
        <v>29</v>
      </c>
      <c r="H41" s="67" t="s">
        <v>29</v>
      </c>
      <c r="I41" s="67" t="s">
        <v>29</v>
      </c>
      <c r="J41" s="67" t="s">
        <v>29</v>
      </c>
      <c r="K41" s="67" t="s">
        <v>29</v>
      </c>
      <c r="L41" s="67" t="s">
        <v>29</v>
      </c>
      <c r="M41" s="67" t="s">
        <v>29</v>
      </c>
      <c r="N41" s="67" t="s">
        <v>29</v>
      </c>
      <c r="O41" s="68" t="s">
        <v>29</v>
      </c>
    </row>
    <row r="42" spans="1:15" x14ac:dyDescent="0.2">
      <c r="A42" s="5" t="s">
        <v>85</v>
      </c>
      <c r="B42" s="19">
        <f>B41*B34</f>
        <v>1200</v>
      </c>
      <c r="D42" s="5" t="s">
        <v>69</v>
      </c>
      <c r="E42" s="67" t="str" cm="1">
        <f t="array" aca="1" ref="E42" ca="1">IF(COLUMN()-COLUMN($E$42)=$B$29, -INDIRECT(ADDRESS(ROW()-6,COLUMN())), "-")</f>
        <v>-</v>
      </c>
      <c r="F42" s="67" t="str" cm="1">
        <f t="array" aca="1" ref="F42" ca="1">IF(COLUMN()-COLUMN($E$42)=$B$29, -INDIRECT(ADDRESS(ROW()-6,COLUMN())), "-")</f>
        <v>-</v>
      </c>
      <c r="G42" s="67" t="str" cm="1">
        <f t="array" aca="1" ref="G42" ca="1">IF(COLUMN()-COLUMN($E$42)=$B$29, -INDIRECT(ADDRESS(ROW()-6,COLUMN())), "-")</f>
        <v>-</v>
      </c>
      <c r="H42" s="67" t="str" cm="1">
        <f t="array" aca="1" ref="H42" ca="1">IF(COLUMN()-COLUMN($E$42)=$B$29, -INDIRECT(ADDRESS(ROW()-6,COLUMN())), "-")</f>
        <v>-</v>
      </c>
      <c r="I42" s="67" t="str" cm="1">
        <f t="array" aca="1" ref="I42" ca="1">IF(COLUMN()-COLUMN($E$42)=$B$29, -INDIRECT(ADDRESS(ROW()-6,COLUMN())), "-")</f>
        <v>-</v>
      </c>
      <c r="J42" s="67" cm="1">
        <f t="array" aca="1" ref="J42" ca="1">IF(COLUMN()-COLUMN($E$42)=$B$29, -INDIRECT(ADDRESS(ROW()-6,COLUMN())), "-")</f>
        <v>-6173087.9726094725</v>
      </c>
      <c r="K42" s="67" t="str" cm="1">
        <f t="array" aca="1" ref="K42" ca="1">IF(COLUMN()-COLUMN($E$42)=$B$29, -INDIRECT(ADDRESS(ROW()-6,COLUMN())), "-")</f>
        <v>-</v>
      </c>
      <c r="L42" s="67" t="str" cm="1">
        <f t="array" aca="1" ref="L42" ca="1">IF(COLUMN()-COLUMN($E$42)=$B$29, -INDIRECT(ADDRESS(ROW()-6,COLUMN())), "-")</f>
        <v>-</v>
      </c>
      <c r="M42" s="67" t="str" cm="1">
        <f t="array" aca="1" ref="M42" ca="1">IF(COLUMN()-COLUMN($E$42)=$B$29, -INDIRECT(ADDRESS(ROW()-6,COLUMN())), "-")</f>
        <v>-</v>
      </c>
      <c r="N42" s="67" t="str" cm="1">
        <f t="array" aca="1" ref="N42" ca="1">IF(COLUMN()-COLUMN($E$42)=$B$29, -INDIRECT(ADDRESS(ROW()-6,COLUMN())), "-")</f>
        <v>-</v>
      </c>
      <c r="O42" s="68" t="str" cm="1">
        <f t="array" aca="1" ref="O42" ca="1">IF(COLUMN()-COLUMN($E$42)=$B$29, -INDIRECT(ADDRESS(ROW()-6,COLUMN())), "-")</f>
        <v>-</v>
      </c>
    </row>
    <row r="43" spans="1:15" x14ac:dyDescent="0.2">
      <c r="A43" s="5" t="s">
        <v>72</v>
      </c>
      <c r="B43" s="22">
        <v>2.5000000000000001E-2</v>
      </c>
      <c r="D43" s="5"/>
      <c r="E43" s="70"/>
      <c r="F43" s="70"/>
      <c r="G43" s="70"/>
      <c r="H43" s="70"/>
      <c r="I43" s="70"/>
      <c r="J43" s="70"/>
      <c r="K43" s="70"/>
      <c r="L43" s="70"/>
      <c r="M43" s="70"/>
      <c r="N43" s="70"/>
      <c r="O43" s="71"/>
    </row>
    <row r="44" spans="1:15" ht="16" thickBot="1" x14ac:dyDescent="0.25">
      <c r="A44" s="5" t="s">
        <v>74</v>
      </c>
      <c r="B44" s="22">
        <v>0.04</v>
      </c>
      <c r="C44" s="20"/>
      <c r="D44" s="15" t="s">
        <v>71</v>
      </c>
      <c r="E44" s="43">
        <f>E39</f>
        <v>-10200000</v>
      </c>
      <c r="F44" s="43">
        <f>F23-F28+IF(COLUMN()-COLUMN($E$44)=$B$29,F40,0)</f>
        <v>350265.59999999998</v>
      </c>
      <c r="G44" s="43">
        <f t="shared" ref="G44:O44" si="9">G23-G28+IF(COLUMN()-COLUMN($E$44)=$B$29,G40,0)</f>
        <v>435557.37600000011</v>
      </c>
      <c r="H44" s="43">
        <f t="shared" si="9"/>
        <v>450113.05728000012</v>
      </c>
      <c r="I44" s="43">
        <f t="shared" si="9"/>
        <v>465140.79699840012</v>
      </c>
      <c r="J44" s="43">
        <f t="shared" ca="1" si="9"/>
        <v>10970808.012433281</v>
      </c>
      <c r="K44" s="43">
        <f t="shared" si="9"/>
        <v>496672.96144010295</v>
      </c>
      <c r="L44" s="43">
        <f t="shared" si="9"/>
        <v>513208.83252064529</v>
      </c>
      <c r="M44" s="43">
        <f t="shared" si="9"/>
        <v>530279.68444409198</v>
      </c>
      <c r="N44" s="43">
        <f t="shared" si="9"/>
        <v>547902.49950658297</v>
      </c>
      <c r="O44" s="75">
        <f t="shared" si="9"/>
        <v>566094.79199997627</v>
      </c>
    </row>
    <row r="45" spans="1:15" ht="17" thickTop="1" thickBot="1" x14ac:dyDescent="0.25">
      <c r="A45" s="5" t="s">
        <v>86</v>
      </c>
      <c r="B45" s="22">
        <v>0.05</v>
      </c>
      <c r="C45" s="33"/>
      <c r="D45" s="15" t="s">
        <v>73</v>
      </c>
      <c r="E45" s="44">
        <f>E39+E41</f>
        <v>-3700000</v>
      </c>
      <c r="F45" s="44">
        <f>IF(COLUMN()-COLUMN($E$45)&gt;$B$29,"-",F23-F28-F33+IF(COLUMN()-COLUMN($E$45)=$B$29,F40+F42,0))</f>
        <v>-7234.4000000000233</v>
      </c>
      <c r="G45" s="44">
        <f>IF(COLUMN()-COLUMN($E$45)&gt;$B$29,"-",G23-G28-G33+IF(COLUMN()-COLUMN($E$45)=$B$29,G40+G42,0))</f>
        <v>78057.376000000106</v>
      </c>
      <c r="H45" s="44">
        <f>IF(COLUMN()-COLUMN($E$45)&gt;$B$29,"-",H23-H28-H33+IF(COLUMN()-COLUMN($E$45)=$B$29,H40+H42,0))</f>
        <v>-10435.570905595319</v>
      </c>
      <c r="I45" s="44">
        <f>IF(COLUMN()-COLUMN($E$45)&gt;$B$29,"-",I23-I28-I33+IF(COLUMN()-COLUMN($E$45)=$B$29,I40+I42,0))</f>
        <v>4447.0907313984353</v>
      </c>
      <c r="J45" s="44">
        <f ca="1">IF(COLUMN()-COLUMN($E$45)&gt;$B$29,"-",J23-J28-J33+IF(COLUMN()-COLUMN($E$45)=$B$29,J40+J42,0))</f>
        <v>4336873.0719312401</v>
      </c>
      <c r="K45" s="44" t="str">
        <f>IF(COLUMN()-COLUMN($E$45)&gt;$B$29,"-",K23-K28-K33+IF(COLUMN()-COLUMN($E$45)=$B$29,K40+K42,0))</f>
        <v>-</v>
      </c>
      <c r="L45" s="44" t="str">
        <f>IF(COLUMN()-COLUMN($E$45)&gt;$B$29,"-",L23-L28-L33+IF(COLUMN()-COLUMN($E$45)=$B$29,L40+L42,0))</f>
        <v>-</v>
      </c>
      <c r="M45" s="44" t="str">
        <f>IF(COLUMN()-COLUMN($E$45)&gt;$B$29,"-",M23-M28-M33+IF(COLUMN()-COLUMN($E$45)=$B$29,M40+M42,0))</f>
        <v>-</v>
      </c>
      <c r="N45" s="44" t="str">
        <f>IF(COLUMN()-COLUMN($E$45)&gt;$B$29,"-",N23-N28-N33+IF(COLUMN()-COLUMN($E$45)=$B$29,N40+N42,0))</f>
        <v>-</v>
      </c>
      <c r="O45" s="45" t="str">
        <f>IF(COLUMN()-COLUMN($E$45)&gt;$B$29,"-",O23-O28-O33+IF(COLUMN()-COLUMN($E$45)=$B$29,O40+O42,0))</f>
        <v>-</v>
      </c>
    </row>
    <row r="46" spans="1:15" ht="16" thickTop="1" x14ac:dyDescent="0.2">
      <c r="A46" s="5" t="s">
        <v>75</v>
      </c>
      <c r="B46" s="27">
        <f>B34*B45*12</f>
        <v>1800</v>
      </c>
      <c r="C46" s="33"/>
      <c r="D46" s="5"/>
      <c r="O46" s="21"/>
    </row>
    <row r="47" spans="1:15" x14ac:dyDescent="0.2">
      <c r="A47" s="13" t="s">
        <v>76</v>
      </c>
      <c r="B47" s="42">
        <v>0.02</v>
      </c>
      <c r="C47" s="20"/>
      <c r="D47" s="72"/>
      <c r="E47" s="73"/>
      <c r="F47" s="74"/>
      <c r="G47" s="74"/>
      <c r="H47" s="74"/>
      <c r="I47" s="74"/>
      <c r="J47" s="74"/>
      <c r="K47" s="74"/>
      <c r="L47" s="74"/>
      <c r="M47" s="74"/>
      <c r="N47" s="74"/>
      <c r="O47" s="74"/>
    </row>
    <row r="48" spans="1:15" x14ac:dyDescent="0.2">
      <c r="D48" s="2" t="s">
        <v>77</v>
      </c>
      <c r="E48" s="8"/>
      <c r="F48" s="3"/>
    </row>
    <row r="49" spans="1:9" x14ac:dyDescent="0.2">
      <c r="D49" s="15"/>
      <c r="E49" s="46" t="s">
        <v>78</v>
      </c>
      <c r="F49" s="47" t="s">
        <v>79</v>
      </c>
    </row>
    <row r="50" spans="1:9" x14ac:dyDescent="0.2">
      <c r="B50" s="65"/>
      <c r="D50" s="5" t="s">
        <v>80</v>
      </c>
      <c r="E50" s="23">
        <f ca="1">IRR(OFFSET($E$44,0,0,1,$B$29+1))</f>
        <v>4.768307771460556E-2</v>
      </c>
      <c r="F50" s="24">
        <f ca="1">IRR(OFFSET($E$45,0,0,1,$B$29+1))</f>
        <v>3.5669658125026649E-2</v>
      </c>
      <c r="H50" s="55"/>
      <c r="I50" s="55"/>
    </row>
    <row r="51" spans="1:9" x14ac:dyDescent="0.2">
      <c r="D51" s="5" t="s">
        <v>81</v>
      </c>
      <c r="E51" s="48">
        <f ca="1">SUM(OFFSET($F$44,0,0,1,$B$29))/-$E$44</f>
        <v>1.2423416512462433</v>
      </c>
      <c r="F51" s="49">
        <f ca="1">SUM(OFFSET($F$45,0,0,1,$B$29))/-$E$45</f>
        <v>1.18965069398839</v>
      </c>
      <c r="H51" s="55"/>
      <c r="I51" s="55"/>
    </row>
    <row r="52" spans="1:9" x14ac:dyDescent="0.2">
      <c r="D52" s="13" t="s">
        <v>82</v>
      </c>
      <c r="E52" s="38">
        <f ca="1">SUM(OFFSET(E44,0,0,1,$B$29+1))</f>
        <v>2471884.8427116815</v>
      </c>
      <c r="F52" s="39">
        <f ca="1">SUM(OFFSET(E45,0,0,1,$B$29+1))</f>
        <v>701707.56775704306</v>
      </c>
      <c r="H52" s="64"/>
      <c r="I52" s="64"/>
    </row>
    <row r="53" spans="1:9" x14ac:dyDescent="0.2">
      <c r="A53" s="55"/>
      <c r="C53" s="56"/>
      <c r="H53" s="64"/>
    </row>
    <row r="56" spans="1:9" x14ac:dyDescent="0.2">
      <c r="F56" s="55"/>
    </row>
  </sheetData>
  <phoneticPr fontId="6" type="noConversion"/>
  <pageMargins left="0.7" right="0.7" top="0.75" bottom="0.75" header="0.3" footer="0.3"/>
  <ignoredErrors>
    <ignoredError sqref="F9:I9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Acquisition 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Etyen Segal</dc:creator>
  <cp:lastModifiedBy>Etyen Segal</cp:lastModifiedBy>
  <dcterms:created xsi:type="dcterms:W3CDTF">2026-02-05T23:20:22Z</dcterms:created>
  <dcterms:modified xsi:type="dcterms:W3CDTF">2026-02-12T21:17:36Z</dcterms:modified>
</cp:coreProperties>
</file>