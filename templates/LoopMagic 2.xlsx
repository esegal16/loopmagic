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tyensegal/loopmagic/templates/"/>
    </mc:Choice>
  </mc:AlternateContent>
  <xr:revisionPtr revIDLastSave="0" documentId="8_{E4EC5DFF-EBDE-2544-ACA5-59D09C68D845}" xr6:coauthVersionLast="47" xr6:coauthVersionMax="47" xr10:uidLastSave="{00000000-0000-0000-0000-000000000000}"/>
  <bookViews>
    <workbookView xWindow="1900" yWindow="1900" windowWidth="27240" windowHeight="16180" xr2:uid="{2CAF6C48-98C8-A74F-8666-B18ACFA69B4F}"/>
  </bookViews>
  <sheets>
    <sheet name="Acquisition Model" sheetId="1" r:id="rId1"/>
  </sheets>
  <definedNames>
    <definedName name="ab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2._.pagers." hidden="1">{"Cover",#N/A,FALSE,"Cover";"Summary",#N/A,FALSE,"Summarpage"}</definedName>
    <definedName name="wrn.allpages." hidden="1">{#N/A,#N/A,TRUE,"Historicals";#N/A,#N/A,TRUE,"Charts";#N/A,#N/A,TRUE,"Forecasts"}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Industry.xls.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LBO._.Summary." hidden="1">{"LBO Summary",#N/A,FALSE,"Summary"}</definedName>
    <definedName name="wrn.MOBIL." hidden="1">{"quarter",#N/A,FALSE,"MOB"}</definedName>
    <definedName name="wrn.print._.all.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offshore." hidden="1">{"off_at",#N/A,FALSE,"Off AT POT";"off_bt",#N/A,FALSE,"Off POT"}</definedName>
    <definedName name="wrn.Pulp." hidden="1">{"Pulp Production",#N/A,FALSE,"Pulp";"Pulp Earnings",#N/A,FALSE,"Pulp"}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6" i="1" l="1"/>
  <c r="O45" i="1"/>
  <c r="N45" i="1"/>
  <c r="M45" i="1"/>
  <c r="O42" i="1"/>
  <c r="N42" i="1"/>
  <c r="M42" i="1"/>
  <c r="K42" i="1"/>
  <c r="J42" i="1"/>
  <c r="I42" i="1"/>
  <c r="H42" i="1"/>
  <c r="G42" i="1"/>
  <c r="F42" i="1"/>
  <c r="E42" i="1"/>
  <c r="B42" i="1"/>
  <c r="F17" i="1" s="1"/>
  <c r="O40" i="1"/>
  <c r="N40" i="1"/>
  <c r="M40" i="1"/>
  <c r="K40" i="1"/>
  <c r="J40" i="1"/>
  <c r="I40" i="1"/>
  <c r="H40" i="1"/>
  <c r="G40" i="1"/>
  <c r="F40" i="1"/>
  <c r="E40" i="1"/>
  <c r="E39" i="1"/>
  <c r="B37" i="1"/>
  <c r="F9" i="1" s="1"/>
  <c r="G9" i="1" s="1"/>
  <c r="H9" i="1" s="1"/>
  <c r="I9" i="1" s="1"/>
  <c r="J9" i="1" s="1"/>
  <c r="K9" i="1" s="1"/>
  <c r="L9" i="1" s="1"/>
  <c r="M9" i="1" s="1"/>
  <c r="N9" i="1" s="1"/>
  <c r="O9" i="1" s="1"/>
  <c r="O36" i="1"/>
  <c r="N36" i="1"/>
  <c r="M36" i="1"/>
  <c r="O35" i="1"/>
  <c r="N35" i="1"/>
  <c r="M35" i="1"/>
  <c r="O34" i="1"/>
  <c r="N34" i="1"/>
  <c r="M34" i="1"/>
  <c r="O33" i="1"/>
  <c r="N33" i="1"/>
  <c r="M33" i="1"/>
  <c r="O32" i="1"/>
  <c r="N32" i="1"/>
  <c r="M32" i="1"/>
  <c r="G32" i="1"/>
  <c r="F32" i="1"/>
  <c r="O31" i="1"/>
  <c r="N31" i="1"/>
  <c r="M31" i="1"/>
  <c r="F28" i="1"/>
  <c r="G28" i="1" s="1"/>
  <c r="H28" i="1" s="1"/>
  <c r="I28" i="1" s="1"/>
  <c r="J28" i="1" s="1"/>
  <c r="K28" i="1" s="1"/>
  <c r="L28" i="1" s="1"/>
  <c r="M28" i="1" s="1"/>
  <c r="N28" i="1" s="1"/>
  <c r="O28" i="1" s="1"/>
  <c r="B20" i="1"/>
  <c r="B16" i="1"/>
  <c r="B15" i="1"/>
  <c r="O14" i="1"/>
  <c r="N14" i="1"/>
  <c r="M14" i="1"/>
  <c r="L14" i="1"/>
  <c r="K14" i="1"/>
  <c r="J14" i="1"/>
  <c r="I14" i="1"/>
  <c r="H14" i="1"/>
  <c r="G14" i="1"/>
  <c r="F14" i="1"/>
  <c r="E13" i="1"/>
  <c r="F13" i="1" s="1"/>
  <c r="B13" i="1"/>
  <c r="O12" i="1"/>
  <c r="N12" i="1"/>
  <c r="M12" i="1"/>
  <c r="L12" i="1"/>
  <c r="K12" i="1"/>
  <c r="J12" i="1"/>
  <c r="I12" i="1"/>
  <c r="H12" i="1"/>
  <c r="G12" i="1"/>
  <c r="F12" i="1"/>
  <c r="E12" i="1"/>
  <c r="G17" i="1" l="1"/>
  <c r="E44" i="1"/>
  <c r="L32" i="1"/>
  <c r="K32" i="1"/>
  <c r="J32" i="1"/>
  <c r="I32" i="1"/>
  <c r="H32" i="1"/>
  <c r="B24" i="1"/>
  <c r="E41" i="1"/>
  <c r="E45" i="1" s="1"/>
  <c r="F35" i="1"/>
  <c r="G13" i="1"/>
  <c r="F6" i="1"/>
  <c r="H17" i="1" l="1"/>
  <c r="F36" i="1"/>
  <c r="G35" i="1" s="1"/>
  <c r="F31" i="1"/>
  <c r="F33" i="1" s="1"/>
  <c r="H13" i="1"/>
  <c r="G6" i="1"/>
  <c r="F7" i="1"/>
  <c r="F8" i="1" s="1"/>
  <c r="F10" i="1" s="1"/>
  <c r="I17" i="1" l="1"/>
  <c r="G36" i="1"/>
  <c r="H35" i="1" s="1"/>
  <c r="G31" i="1"/>
  <c r="G33" i="1" s="1"/>
  <c r="I13" i="1"/>
  <c r="H6" i="1"/>
  <c r="G7" i="1"/>
  <c r="G8" i="1"/>
  <c r="G10" i="1" s="1"/>
  <c r="F18" i="1"/>
  <c r="F19" i="1" s="1"/>
  <c r="J17" i="1" l="1"/>
  <c r="H36" i="1"/>
  <c r="I35" i="1" s="1"/>
  <c r="H31" i="1"/>
  <c r="H33" i="1" s="1"/>
  <c r="J13" i="1"/>
  <c r="I6" i="1"/>
  <c r="H7" i="1"/>
  <c r="H8" i="1"/>
  <c r="H10" i="1" s="1"/>
  <c r="G18" i="1"/>
  <c r="G19" i="1" s="1"/>
  <c r="G20" i="1"/>
  <c r="G23" i="1"/>
  <c r="G24" i="1" s="1"/>
  <c r="F20" i="1"/>
  <c r="F23" i="1"/>
  <c r="K17" i="1" l="1"/>
  <c r="I36" i="1"/>
  <c r="J35" i="1" s="1"/>
  <c r="I31" i="1"/>
  <c r="I33" i="1" s="1"/>
  <c r="K13" i="1"/>
  <c r="J6" i="1"/>
  <c r="I7" i="1"/>
  <c r="I8" i="1"/>
  <c r="I10" i="1" s="1"/>
  <c r="H18" i="1"/>
  <c r="H19" i="1" s="1"/>
  <c r="H20" i="1"/>
  <c r="H23" i="1"/>
  <c r="H24" i="1"/>
  <c r="G34" i="1"/>
  <c r="G25" i="1"/>
  <c r="G45" i="1"/>
  <c r="G44" i="1"/>
  <c r="B14" i="1"/>
  <c r="B27" i="1" s="1"/>
  <c r="F45" i="1"/>
  <c r="F44" i="1"/>
  <c r="F25" i="1"/>
  <c r="F34" i="1"/>
  <c r="F24" i="1"/>
  <c r="L17" i="1" l="1"/>
  <c r="J36" i="1"/>
  <c r="K35" i="1" s="1"/>
  <c r="J31" i="1"/>
  <c r="J33" i="1" s="1"/>
  <c r="L13" i="1"/>
  <c r="K6" i="1"/>
  <c r="J7" i="1"/>
  <c r="J8" i="1"/>
  <c r="J10" i="1" s="1"/>
  <c r="I18" i="1"/>
  <c r="I19" i="1" s="1"/>
  <c r="I20" i="1"/>
  <c r="I23" i="1"/>
  <c r="I24" i="1"/>
  <c r="H34" i="1"/>
  <c r="H25" i="1"/>
  <c r="H44" i="1"/>
  <c r="H45" i="1"/>
  <c r="M17" i="1" l="1"/>
  <c r="K36" i="1"/>
  <c r="L35" i="1" s="1"/>
  <c r="K31" i="1"/>
  <c r="K33" i="1" s="1"/>
  <c r="M13" i="1"/>
  <c r="L6" i="1"/>
  <c r="K7" i="1"/>
  <c r="K8" i="1"/>
  <c r="K10" i="1" s="1"/>
  <c r="J18" i="1"/>
  <c r="J19" i="1" s="1"/>
  <c r="I34" i="1"/>
  <c r="I25" i="1"/>
  <c r="I44" i="1"/>
  <c r="I45" i="1"/>
  <c r="N17" i="1" l="1"/>
  <c r="L31" i="1"/>
  <c r="L33" i="1" s="1"/>
  <c r="L36" i="1"/>
  <c r="L42" i="1" s="1"/>
  <c r="N13" i="1"/>
  <c r="M6" i="1"/>
  <c r="L7" i="1"/>
  <c r="L8" i="1"/>
  <c r="L10" i="1" s="1"/>
  <c r="K18" i="1"/>
  <c r="K19" i="1" s="1"/>
  <c r="K20" i="1"/>
  <c r="K23" i="1"/>
  <c r="K24" i="1"/>
  <c r="J23" i="1"/>
  <c r="J20" i="1"/>
  <c r="O17" i="1" l="1"/>
  <c r="O13" i="1"/>
  <c r="O6" i="1" s="1"/>
  <c r="N6" i="1"/>
  <c r="M7" i="1"/>
  <c r="M8" i="1"/>
  <c r="M10" i="1" s="1"/>
  <c r="L18" i="1"/>
  <c r="L19" i="1" s="1"/>
  <c r="L20" i="1"/>
  <c r="L23" i="1"/>
  <c r="L24" i="1" s="1"/>
  <c r="K34" i="1"/>
  <c r="K25" i="1"/>
  <c r="K44" i="1"/>
  <c r="K45" i="1"/>
  <c r="J45" i="1"/>
  <c r="J44" i="1"/>
  <c r="J25" i="1"/>
  <c r="J34" i="1"/>
  <c r="J24" i="1"/>
  <c r="O7" i="1" l="1"/>
  <c r="O8" i="1"/>
  <c r="O10" i="1" s="1"/>
  <c r="N7" i="1"/>
  <c r="N8" i="1"/>
  <c r="N10" i="1" s="1"/>
  <c r="M18" i="1"/>
  <c r="M19" i="1" s="1"/>
  <c r="M20" i="1" s="1"/>
  <c r="M23" i="1"/>
  <c r="M24" i="1"/>
  <c r="L34" i="1"/>
  <c r="L25" i="1"/>
  <c r="L40" i="1"/>
  <c r="L44" i="1" s="1"/>
  <c r="L45" i="1"/>
  <c r="F50" i="1"/>
  <c r="F52" i="1"/>
  <c r="F51" i="1"/>
  <c r="O18" i="1" l="1"/>
  <c r="O19" i="1" s="1"/>
  <c r="N18" i="1"/>
  <c r="N19" i="1" s="1"/>
  <c r="M25" i="1"/>
  <c r="M44" i="1"/>
  <c r="E50" i="1"/>
  <c r="E52" i="1"/>
  <c r="E51" i="1"/>
  <c r="O20" i="1" l="1"/>
  <c r="O23" i="1"/>
  <c r="N20" i="1"/>
  <c r="N23" i="1"/>
  <c r="O44" i="1" l="1"/>
  <c r="O25" i="1"/>
  <c r="O24" i="1"/>
  <c r="N44" i="1"/>
  <c r="N25" i="1"/>
  <c r="N24" i="1"/>
</calcChain>
</file>

<file path=xl/sharedStrings.xml><?xml version="1.0" encoding="utf-8"?>
<sst xmlns="http://schemas.openxmlformats.org/spreadsheetml/2006/main" count="97" uniqueCount="94">
  <si>
    <t>CRE ACQUISITION MODEL</t>
  </si>
  <si>
    <t>DEAL OVERVIEW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</si>
  <si>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</si>
  <si>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</si>
  <si>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</si>
  <si>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</si>
  <si>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</si>
  <si>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</si>
  <si>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</si>
  <si>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</si>
  <si>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</si>
  <si>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</si>
  <si>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Address</t>
  </si>
  <si>
    <t>Grimmauld Gardens</t>
  </si>
  <si>
    <t>City</t>
  </si>
  <si>
    <t>Miami, FL</t>
  </si>
  <si>
    <t>REVENUE</t>
  </si>
  <si>
    <t>Property Type</t>
  </si>
  <si>
    <t>Multifamily</t>
  </si>
  <si>
    <t>Gross Potential Rent</t>
  </si>
  <si>
    <t>Units</t>
  </si>
  <si>
    <t>Vacancy Loss</t>
  </si>
  <si>
    <t>Rentable SF</t>
  </si>
  <si>
    <t>Net Effective Rent</t>
  </si>
  <si>
    <t>Other Revenue</t>
  </si>
  <si>
    <t>ACQUISITION</t>
  </si>
  <si>
    <t>Effective Gross Income</t>
  </si>
  <si>
    <t>Purchase Price</t>
  </si>
  <si>
    <t>Closing Costs (% of Price)</t>
  </si>
  <si>
    <t>Occupancy</t>
  </si>
  <si>
    <t>Total Acquisition Cost</t>
  </si>
  <si>
    <t>Average Rent</t>
  </si>
  <si>
    <t>Going-in Cap Rate</t>
  </si>
  <si>
    <t>Annual Rent Growth</t>
  </si>
  <si>
    <t>-</t>
  </si>
  <si>
    <t>Price / Unit</t>
  </si>
  <si>
    <t>Price / SF</t>
  </si>
  <si>
    <t>OPERATING EXPENSES</t>
  </si>
  <si>
    <t>Operating Expenses</t>
  </si>
  <si>
    <t>FINANCING</t>
  </si>
  <si>
    <t>Management Fee</t>
  </si>
  <si>
    <t>Loan-to-Value (LTV)</t>
  </si>
  <si>
    <t>Total Operating Expenses</t>
  </si>
  <si>
    <t>Loan Amount</t>
  </si>
  <si>
    <t>OpEx % of EGI</t>
  </si>
  <si>
    <t>Interest Rate</t>
  </si>
  <si>
    <t>Amortization (years)</t>
  </si>
  <si>
    <t>NET OPERATING INCOME</t>
  </si>
  <si>
    <t>IO Period (years)</t>
  </si>
  <si>
    <t>NOI</t>
  </si>
  <si>
    <t>Equity Required</t>
  </si>
  <si>
    <t>NOI Margin</t>
  </si>
  <si>
    <t>Yield-on-Cost</t>
  </si>
  <si>
    <t>EXIT</t>
  </si>
  <si>
    <t>Exit Cap Rate</t>
  </si>
  <si>
    <t>CAPITAL EXPENDITURES</t>
  </si>
  <si>
    <t>Sale Costs (% of Price)</t>
  </si>
  <si>
    <t>CapEx Reserves</t>
  </si>
  <si>
    <t>Hold Period (years)</t>
  </si>
  <si>
    <t>DEBT SERVICE</t>
  </si>
  <si>
    <t>REVENUE DRIVERS</t>
  </si>
  <si>
    <t>Interest Expense</t>
  </si>
  <si>
    <t>Year 1 Occupancy</t>
  </si>
  <si>
    <t>Principal Payment</t>
  </si>
  <si>
    <t>Stabilized Occupancy</t>
  </si>
  <si>
    <t>Total Debt Service</t>
  </si>
  <si>
    <t>Monthly Rent / Unit</t>
  </si>
  <si>
    <t>DSCR</t>
  </si>
  <si>
    <t>Loan Balance (BOP)</t>
  </si>
  <si>
    <t>Other Revenue % / Monthly Rent</t>
  </si>
  <si>
    <t>Loan Balance (EOP)</t>
  </si>
  <si>
    <t>Other Revenue / Unit / Month</t>
  </si>
  <si>
    <t>Other Revenue Growth</t>
  </si>
  <si>
    <t>CASH FLOW</t>
  </si>
  <si>
    <t>Acquisition Cost</t>
  </si>
  <si>
    <t>EXPENSE DRIVERS</t>
  </si>
  <si>
    <t>Net Sale Proceeds</t>
  </si>
  <si>
    <t>OpEx % / Monthly Rent</t>
  </si>
  <si>
    <t>Loan Proceeds</t>
  </si>
  <si>
    <t>OpEx / Unit / Month</t>
  </si>
  <si>
    <t>Loan Payoff</t>
  </si>
  <si>
    <t>OpEx Growth</t>
  </si>
  <si>
    <t>Management Fee (% EGI)</t>
  </si>
  <si>
    <t>Unlevered Cash Flow</t>
  </si>
  <si>
    <t>CapEx % / Monthly Rent</t>
  </si>
  <si>
    <t>Levered Cash Flow</t>
  </si>
  <si>
    <t>CapEx Reserves / Unit / Year</t>
  </si>
  <si>
    <t>CapEx Growth</t>
  </si>
  <si>
    <t>RETURNS SUMMARY</t>
  </si>
  <si>
    <t>Unlevered</t>
  </si>
  <si>
    <t>Levered</t>
  </si>
  <si>
    <t>IRR</t>
  </si>
  <si>
    <t>Equity Multiple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</si>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</sst>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$&quot;#,##0_);\(&quot;$&quot;#,##0\)"/>
    <numFmt numFmtId="7" formatCode="&quot;$&quot;#,##0.00_);\(&quot;$&quot;#,##0.00\)"/>
    <numFmt numFmtId="164" formatCode="&quot;$&quot;#,##0;\(&quot;$&quot;#,##0\);&quot;-&quot;"/>
    <numFmt numFmtId="165" formatCode="&quot;$&quot;#,##0"/>
    <numFmt numFmtId="166" formatCode="0.0%"/>
    <numFmt numFmtId="167" formatCode="0.00\x"/>
    <numFmt numFmtId="168" formatCode="&quot;$&quot;#,##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thin">
        <color indexed="64"/>
      </right>
      <top style="double">
        <color auto="1"/>
      </top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2">
    <xf numFmtId="0" fontId="0" fillId="0" borderId="0" xfId="0"/>
    <xf numFmtId="0" fontId="2" fillId="0" borderId="0" xfId="0" applyFont="1"/>
    <xf numFmtId="0" fontId="3" fillId="2" borderId="1" xfId="0" applyFont="1" applyFill="1" applyBorder="1"/>
    <xf numFmtId="0" fontId="0" fillId="2" borderId="2" xfId="0" applyFill="1" applyBorder="1"/>
    <xf numFmtId="0" fontId="3" fillId="2" borderId="0" xfId="0" applyFont="1" applyFill="1" applyAlignment="1">
      <alignment horizontal="center"/>
    </xf>
    <xf numFmtId="0" fontId="4" fillId="0" borderId="3" xfId="0" applyFont="1" applyBorder="1"/>
    <xf numFmtId="0" fontId="5" fillId="0" borderId="4" xfId="0" applyFont="1" applyBorder="1" applyAlignment="1">
      <alignment horizontal="right"/>
    </xf>
    <xf numFmtId="0" fontId="5" fillId="0" borderId="0" xfId="0" applyFont="1"/>
    <xf numFmtId="0" fontId="0" fillId="2" borderId="5" xfId="0" applyFill="1" applyBorder="1"/>
    <xf numFmtId="164" fontId="4" fillId="0" borderId="0" xfId="0" applyNumberFormat="1" applyFont="1"/>
    <xf numFmtId="164" fontId="4" fillId="0" borderId="4" xfId="0" applyNumberFormat="1" applyFont="1" applyBorder="1"/>
    <xf numFmtId="3" fontId="5" fillId="0" borderId="4" xfId="0" applyNumberFormat="1" applyFont="1" applyBorder="1"/>
    <xf numFmtId="3" fontId="5" fillId="0" borderId="0" xfId="0" applyNumberFormat="1" applyFont="1"/>
    <xf numFmtId="0" fontId="4" fillId="0" borderId="6" xfId="0" applyFont="1" applyBorder="1"/>
    <xf numFmtId="3" fontId="5" fillId="0" borderId="7" xfId="0" applyNumberFormat="1" applyFont="1" applyBorder="1"/>
    <xf numFmtId="0" fontId="3" fillId="0" borderId="3" xfId="0" applyFont="1" applyBorder="1"/>
    <xf numFmtId="164" fontId="3" fillId="0" borderId="8" xfId="0" applyNumberFormat="1" applyFont="1" applyBorder="1"/>
    <xf numFmtId="164" fontId="3" fillId="0" borderId="9" xfId="0" applyNumberFormat="1" applyFont="1" applyBorder="1"/>
    <xf numFmtId="0" fontId="4" fillId="0" borderId="0" xfId="0" applyFont="1"/>
    <xf numFmtId="165" fontId="5" fillId="0" borderId="4" xfId="0" applyNumberFormat="1" applyFont="1" applyBorder="1"/>
    <xf numFmtId="165" fontId="5" fillId="0" borderId="0" xfId="0" applyNumberFormat="1" applyFont="1"/>
    <xf numFmtId="0" fontId="0" fillId="0" borderId="4" xfId="0" applyBorder="1"/>
    <xf numFmtId="166" fontId="5" fillId="0" borderId="4" xfId="0" applyNumberFormat="1" applyFont="1" applyBorder="1"/>
    <xf numFmtId="166" fontId="4" fillId="0" borderId="0" xfId="0" applyNumberFormat="1" applyFont="1"/>
    <xf numFmtId="166" fontId="4" fillId="0" borderId="4" xfId="0" applyNumberFormat="1" applyFont="1" applyBorder="1"/>
    <xf numFmtId="165" fontId="3" fillId="0" borderId="4" xfId="0" applyNumberFormat="1" applyFont="1" applyBorder="1"/>
    <xf numFmtId="0" fontId="0" fillId="0" borderId="3" xfId="0" applyBorder="1"/>
    <xf numFmtId="165" fontId="4" fillId="0" borderId="0" xfId="0" applyNumberFormat="1" applyFont="1"/>
    <xf numFmtId="165" fontId="4" fillId="0" borderId="4" xfId="0" applyNumberFormat="1" applyFont="1" applyBorder="1"/>
    <xf numFmtId="0" fontId="0" fillId="0" borderId="6" xfId="0" applyBorder="1"/>
    <xf numFmtId="0" fontId="4" fillId="0" borderId="10" xfId="0" applyFont="1" applyBorder="1" applyAlignment="1">
      <alignment horizontal="center"/>
    </xf>
    <xf numFmtId="166" fontId="4" fillId="0" borderId="10" xfId="0" applyNumberFormat="1" applyFont="1" applyBorder="1" applyAlignment="1">
      <alignment horizontal="right"/>
    </xf>
    <xf numFmtId="166" fontId="4" fillId="0" borderId="10" xfId="0" applyNumberFormat="1" applyFont="1" applyBorder="1"/>
    <xf numFmtId="166" fontId="4" fillId="0" borderId="7" xfId="0" applyNumberFormat="1" applyFont="1" applyBorder="1"/>
    <xf numFmtId="165" fontId="4" fillId="0" borderId="7" xfId="0" applyNumberFormat="1" applyFont="1" applyBorder="1"/>
    <xf numFmtId="164" fontId="4" fillId="0" borderId="7" xfId="0" applyNumberFormat="1" applyFont="1" applyBorder="1"/>
    <xf numFmtId="166" fontId="5" fillId="0" borderId="0" xfId="0" applyNumberFormat="1" applyFont="1"/>
    <xf numFmtId="0" fontId="0" fillId="0" borderId="10" xfId="0" applyBorder="1"/>
    <xf numFmtId="0" fontId="3" fillId="0" borderId="6" xfId="0" applyFont="1" applyBorder="1"/>
    <xf numFmtId="165" fontId="3" fillId="0" borderId="9" xfId="0" applyNumberFormat="1" applyFont="1" applyBorder="1"/>
    <xf numFmtId="165" fontId="3" fillId="0" borderId="0" xfId="0" applyNumberFormat="1" applyFont="1"/>
    <xf numFmtId="164" fontId="4" fillId="0" borderId="10" xfId="0" applyNumberFormat="1" applyFont="1" applyBorder="1"/>
    <xf numFmtId="165" fontId="3" fillId="0" borderId="8" xfId="0" applyNumberFormat="1" applyFont="1" applyBorder="1"/>
    <xf numFmtId="167" fontId="4" fillId="0" borderId="10" xfId="0" applyNumberFormat="1" applyFont="1" applyBorder="1"/>
    <xf numFmtId="167" fontId="4" fillId="0" borderId="7" xfId="0" applyNumberFormat="1" applyFont="1" applyBorder="1"/>
    <xf numFmtId="165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right"/>
    </xf>
    <xf numFmtId="165" fontId="4" fillId="0" borderId="4" xfId="0" applyNumberFormat="1" applyFont="1" applyBorder="1" applyAlignment="1">
      <alignment horizontal="right"/>
    </xf>
    <xf numFmtId="165" fontId="4" fillId="0" borderId="10" xfId="0" applyNumberFormat="1" applyFont="1" applyBorder="1" applyAlignment="1">
      <alignment horizontal="center"/>
    </xf>
    <xf numFmtId="165" fontId="4" fillId="0" borderId="10" xfId="0" applyNumberFormat="1" applyFont="1" applyBorder="1" applyAlignment="1">
      <alignment horizontal="right"/>
    </xf>
    <xf numFmtId="165" fontId="4" fillId="0" borderId="7" xfId="0" applyNumberFormat="1" applyFont="1" applyBorder="1" applyAlignment="1">
      <alignment horizontal="right"/>
    </xf>
    <xf numFmtId="166" fontId="5" fillId="0" borderId="7" xfId="0" applyNumberFormat="1" applyFont="1" applyBorder="1"/>
    <xf numFmtId="5" fontId="4" fillId="0" borderId="0" xfId="0" applyNumberFormat="1" applyFont="1"/>
    <xf numFmtId="5" fontId="4" fillId="0" borderId="4" xfId="0" applyNumberFormat="1" applyFont="1" applyBorder="1"/>
    <xf numFmtId="5" fontId="0" fillId="0" borderId="0" xfId="0" applyNumberFormat="1"/>
    <xf numFmtId="5" fontId="0" fillId="0" borderId="4" xfId="0" applyNumberFormat="1" applyBorder="1"/>
    <xf numFmtId="164" fontId="3" fillId="0" borderId="5" xfId="0" applyNumberFormat="1" applyFont="1" applyBorder="1"/>
    <xf numFmtId="164" fontId="3" fillId="0" borderId="11" xfId="0" applyNumberFormat="1" applyFont="1" applyBorder="1"/>
    <xf numFmtId="164" fontId="3" fillId="0" borderId="12" xfId="0" applyNumberFormat="1" applyFont="1" applyBorder="1"/>
    <xf numFmtId="164" fontId="3" fillId="0" borderId="13" xfId="0" applyNumberFormat="1" applyFont="1" applyBorder="1"/>
    <xf numFmtId="0" fontId="4" fillId="0" borderId="5" xfId="0" applyFont="1" applyBorder="1"/>
    <xf numFmtId="0" fontId="0" fillId="0" borderId="5" xfId="0" applyBorder="1"/>
    <xf numFmtId="166" fontId="4" fillId="0" borderId="5" xfId="0" applyNumberFormat="1" applyFont="1" applyBorder="1"/>
    <xf numFmtId="0" fontId="3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10" fontId="0" fillId="0" borderId="0" xfId="1" applyNumberFormat="1" applyFont="1"/>
    <xf numFmtId="164" fontId="0" fillId="0" borderId="0" xfId="0" applyNumberFormat="1"/>
    <xf numFmtId="7" fontId="0" fillId="0" borderId="0" xfId="0" applyNumberFormat="1"/>
    <xf numFmtId="167" fontId="4" fillId="0" borderId="0" xfId="0" applyNumberFormat="1" applyFont="1"/>
    <xf numFmtId="167" fontId="4" fillId="0" borderId="4" xfId="0" applyNumberFormat="1" applyFont="1" applyBorder="1"/>
    <xf numFmtId="166" fontId="0" fillId="0" borderId="0" xfId="0" applyNumberFormat="1"/>
    <xf numFmtId="168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2DEF-B1E3-F545-9B25-006693F782CF}">
  <sheetPr codeName="Sheet1"/>
  <dimension ref="A1:O56"/>
  <sheetViews>
    <sheetView showGridLines="0" tabSelected="1" zoomScale="82" zoomScaleNormal="83" workbookViewId="0">
      <selection activeCell="E18" sqref="E18"/>
    </sheetView>
  </sheetViews>
  <sheetFormatPr baseColWidth="10" defaultRowHeight="15" outlineLevelRow="1" x14ac:dyDescent="0.2"/>
  <cols>
    <col min="1" max="1" width="31.83203125" bestFit="1" customWidth="1"/>
    <col min="2" max="2" width="29.83203125" customWidth="1"/>
    <col min="3" max="3" width="10.33203125" customWidth="1"/>
    <col min="4" max="4" width="26.6640625" customWidth="1"/>
    <col min="5" max="15" width="15.83203125" customWidth="1"/>
  </cols>
  <sheetData>
    <row r="1" spans="1:15" ht="18" x14ac:dyDescent="0.2">
      <c r="A1" s="1" t="s">
        <v>0</v>
      </c>
    </row>
    <row r="3" spans="1:15" x14ac:dyDescent="0.2">
      <c r="A3" s="2" t="s">
        <v>1</v>
      </c>
      <c r="B3" s="3"/>
      <c r="D3" s="4"/>
      <c r="E3" s="4"/>
      <c r="F3" s="4" t="s">
        <v>2</v>
      </c>
      <c r="G3" s="4" t="s">
        <v>3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spans="1:15" x14ac:dyDescent="0.2">
      <c r="A4" s="5" t="s">
        <v>12</v>
      </c>
      <c r="B4" s="6" t="s">
        <v>13</v>
      </c>
      <c r="C4" s="7"/>
    </row>
    <row r="5" spans="1:15" x14ac:dyDescent="0.2">
      <c r="A5" s="5" t="s">
        <v>14</v>
      </c>
      <c r="B5" s="6" t="s">
        <v>15</v>
      </c>
      <c r="C5" s="7"/>
      <c r="D5" s="2" t="s">
        <v>16</v>
      </c>
      <c r="E5" s="8"/>
      <c r="F5" s="8"/>
      <c r="G5" s="8"/>
      <c r="H5" s="8"/>
      <c r="I5" s="8"/>
      <c r="J5" s="8"/>
      <c r="K5" s="8"/>
      <c r="L5" s="8"/>
      <c r="M5" s="8"/>
      <c r="N5" s="8"/>
      <c r="O5" s="3"/>
    </row>
    <row r="6" spans="1:15" x14ac:dyDescent="0.2">
      <c r="A6" s="5" t="s">
        <v>17</v>
      </c>
      <c r="B6" s="6" t="s">
        <v>18</v>
      </c>
      <c r="C6" s="7"/>
      <c r="D6" s="5" t="s">
        <v>19</v>
      </c>
      <c r="E6" s="9"/>
      <c r="F6" s="9">
        <f>$B$7*F13*12</f>
        <v>1112400</v>
      </c>
      <c r="G6" s="9">
        <f>$B$7*G13*12</f>
        <v>1145772.0000000002</v>
      </c>
      <c r="H6" s="9">
        <f>$B$7*H13*12</f>
        <v>1180145.1600000001</v>
      </c>
      <c r="I6" s="9">
        <f>$B$7*I13*12</f>
        <v>1215549.5148000005</v>
      </c>
      <c r="J6" s="9">
        <f t="shared" ref="J6:O6" si="0">$B$7*J13*12</f>
        <v>1252016.0002440002</v>
      </c>
      <c r="K6" s="9">
        <f t="shared" si="0"/>
        <v>1289576.4802513204</v>
      </c>
      <c r="L6" s="9">
        <f t="shared" si="0"/>
        <v>1328263.7746588599</v>
      </c>
      <c r="M6" s="9">
        <f t="shared" si="0"/>
        <v>1368111.6878986256</v>
      </c>
      <c r="N6" s="9">
        <f t="shared" si="0"/>
        <v>1409155.0385355845</v>
      </c>
      <c r="O6" s="10">
        <f t="shared" si="0"/>
        <v>1451429.6896916521</v>
      </c>
    </row>
    <row r="7" spans="1:15" x14ac:dyDescent="0.2">
      <c r="A7" s="5" t="s">
        <v>20</v>
      </c>
      <c r="B7" s="11">
        <v>30</v>
      </c>
      <c r="C7" s="12"/>
      <c r="D7" s="5" t="s">
        <v>21</v>
      </c>
      <c r="F7" s="9">
        <f>-F6*(1-F12)</f>
        <v>-166860.00000000003</v>
      </c>
      <c r="G7" s="9">
        <f>-G6*(1-G12)</f>
        <v>-57288.600000000064</v>
      </c>
      <c r="H7" s="9">
        <f>-H6*(1-H12)</f>
        <v>-59007.25800000006</v>
      </c>
      <c r="I7" s="9">
        <f>-I6*(1-I12)</f>
        <v>-60777.475740000074</v>
      </c>
      <c r="J7" s="9">
        <f t="shared" ref="J7:N7" si="1">-J6*(1-J12)</f>
        <v>-62600.800012200067</v>
      </c>
      <c r="K7" s="9">
        <f t="shared" si="1"/>
        <v>-64478.824012566074</v>
      </c>
      <c r="L7" s="9">
        <f t="shared" si="1"/>
        <v>-66413.188732943061</v>
      </c>
      <c r="M7" s="9">
        <f t="shared" si="1"/>
        <v>-68405.584394931342</v>
      </c>
      <c r="N7" s="9">
        <f t="shared" si="1"/>
        <v>-70457.751926779281</v>
      </c>
      <c r="O7" s="10">
        <f>-O6*(1-O12)</f>
        <v>-72571.484484582674</v>
      </c>
    </row>
    <row r="8" spans="1:15" x14ac:dyDescent="0.2">
      <c r="A8" s="13" t="s">
        <v>22</v>
      </c>
      <c r="B8" s="14">
        <v>10000</v>
      </c>
      <c r="C8" s="12"/>
      <c r="D8" s="15" t="s">
        <v>23</v>
      </c>
      <c r="F8" s="16">
        <f>F6+F7</f>
        <v>945540</v>
      </c>
      <c r="G8" s="16">
        <f>G6+G7</f>
        <v>1088483.4000000001</v>
      </c>
      <c r="H8" s="16">
        <f>H6+H7</f>
        <v>1121137.902</v>
      </c>
      <c r="I8" s="16">
        <f>I6+I7</f>
        <v>1154772.0390600003</v>
      </c>
      <c r="J8" s="16">
        <f t="shared" ref="J8:N8" si="2">J6+J7</f>
        <v>1189415.2002318001</v>
      </c>
      <c r="K8" s="16">
        <f t="shared" si="2"/>
        <v>1225097.6562387543</v>
      </c>
      <c r="L8" s="16">
        <f t="shared" si="2"/>
        <v>1261850.5859259169</v>
      </c>
      <c r="M8" s="16">
        <f t="shared" si="2"/>
        <v>1299706.1035036943</v>
      </c>
      <c r="N8" s="16">
        <f t="shared" si="2"/>
        <v>1338697.2866088052</v>
      </c>
      <c r="O8" s="17">
        <f>O6+O7</f>
        <v>1378858.2052070694</v>
      </c>
    </row>
    <row r="9" spans="1:15" x14ac:dyDescent="0.2">
      <c r="A9" s="18"/>
      <c r="B9" s="18"/>
      <c r="C9" s="18"/>
      <c r="D9" s="5" t="s">
        <v>24</v>
      </c>
      <c r="F9" s="9">
        <f>$B$37*$B$7*12</f>
        <v>108000</v>
      </c>
      <c r="G9" s="9">
        <f t="shared" ref="G9:O9" si="3">F9*(1+$B$38)</f>
        <v>110699.99999999999</v>
      </c>
      <c r="H9" s="9">
        <f t="shared" si="3"/>
        <v>113467.49999999997</v>
      </c>
      <c r="I9" s="9">
        <f t="shared" si="3"/>
        <v>116304.18749999996</v>
      </c>
      <c r="J9" s="9">
        <f t="shared" si="3"/>
        <v>119211.79218749994</v>
      </c>
      <c r="K9" s="9">
        <f t="shared" si="3"/>
        <v>122192.08699218743</v>
      </c>
      <c r="L9" s="9">
        <f t="shared" si="3"/>
        <v>125246.8891669921</v>
      </c>
      <c r="M9" s="9">
        <f t="shared" si="3"/>
        <v>128378.06139616689</v>
      </c>
      <c r="N9" s="9">
        <f t="shared" si="3"/>
        <v>131587.51293107105</v>
      </c>
      <c r="O9" s="9">
        <f t="shared" si="3"/>
        <v>134877.20075434781</v>
      </c>
    </row>
    <row r="10" spans="1:15" x14ac:dyDescent="0.2">
      <c r="A10" s="2" t="s">
        <v>25</v>
      </c>
      <c r="B10" s="3"/>
      <c r="D10" s="15" t="s">
        <v>26</v>
      </c>
      <c r="F10" s="16">
        <f>F8+F9</f>
        <v>1053540</v>
      </c>
      <c r="G10" s="16">
        <f>G8+G9</f>
        <v>1199183.4000000001</v>
      </c>
      <c r="H10" s="16">
        <f>H8+H9</f>
        <v>1234605.402</v>
      </c>
      <c r="I10" s="16">
        <f>I8+I9</f>
        <v>1271076.2265600003</v>
      </c>
      <c r="J10" s="16">
        <f t="shared" ref="J10:N10" si="4">J8+J9</f>
        <v>1308626.9924193001</v>
      </c>
      <c r="K10" s="16">
        <f t="shared" si="4"/>
        <v>1347289.7432309417</v>
      </c>
      <c r="L10" s="16">
        <f t="shared" si="4"/>
        <v>1387097.4750929091</v>
      </c>
      <c r="M10" s="16">
        <f t="shared" si="4"/>
        <v>1428084.1648998612</v>
      </c>
      <c r="N10" s="16">
        <f t="shared" si="4"/>
        <v>1470284.7995398762</v>
      </c>
      <c r="O10" s="17">
        <f>O8+O9</f>
        <v>1513735.4059614171</v>
      </c>
    </row>
    <row r="11" spans="1:15" x14ac:dyDescent="0.2">
      <c r="A11" s="5" t="s">
        <v>27</v>
      </c>
      <c r="B11" s="19">
        <v>10000000</v>
      </c>
      <c r="C11" s="20"/>
      <c r="D11" s="5"/>
      <c r="O11" s="21"/>
    </row>
    <row r="12" spans="1:15" x14ac:dyDescent="0.2">
      <c r="A12" s="5" t="s">
        <v>28</v>
      </c>
      <c r="B12" s="22">
        <v>0.02</v>
      </c>
      <c r="C12" s="20"/>
      <c r="D12" s="5" t="s">
        <v>29</v>
      </c>
      <c r="E12" s="23">
        <f>$B$32</f>
        <v>0.85</v>
      </c>
      <c r="F12" s="23">
        <f>$B$32</f>
        <v>0.85</v>
      </c>
      <c r="G12" s="23">
        <f t="shared" ref="G12:O12" si="5">$B$33</f>
        <v>0.95</v>
      </c>
      <c r="H12" s="23">
        <f t="shared" si="5"/>
        <v>0.95</v>
      </c>
      <c r="I12" s="23">
        <f t="shared" si="5"/>
        <v>0.95</v>
      </c>
      <c r="J12" s="23">
        <f t="shared" si="5"/>
        <v>0.95</v>
      </c>
      <c r="K12" s="23">
        <f t="shared" si="5"/>
        <v>0.95</v>
      </c>
      <c r="L12" s="23">
        <f t="shared" si="5"/>
        <v>0.95</v>
      </c>
      <c r="M12" s="23">
        <f t="shared" si="5"/>
        <v>0.95</v>
      </c>
      <c r="N12" s="23">
        <f t="shared" si="5"/>
        <v>0.95</v>
      </c>
      <c r="O12" s="24">
        <f t="shared" si="5"/>
        <v>0.95</v>
      </c>
    </row>
    <row r="13" spans="1:15" x14ac:dyDescent="0.2">
      <c r="A13" s="15" t="s">
        <v>30</v>
      </c>
      <c r="B13" s="25">
        <f>B11*(1+B12)</f>
        <v>10200000</v>
      </c>
      <c r="C13" s="20"/>
      <c r="D13" s="26" t="s">
        <v>31</v>
      </c>
      <c r="E13" s="27">
        <f>$B$34</f>
        <v>3000</v>
      </c>
      <c r="F13" s="27">
        <f t="shared" ref="F13:O13" si="6">E13*(1+$B$35)</f>
        <v>3090</v>
      </c>
      <c r="G13" s="27">
        <f t="shared" si="6"/>
        <v>3182.7000000000003</v>
      </c>
      <c r="H13" s="27">
        <f t="shared" si="6"/>
        <v>3278.1810000000005</v>
      </c>
      <c r="I13" s="27">
        <f t="shared" si="6"/>
        <v>3376.5264300000008</v>
      </c>
      <c r="J13" s="27">
        <f t="shared" si="6"/>
        <v>3477.8222229000007</v>
      </c>
      <c r="K13" s="27">
        <f t="shared" si="6"/>
        <v>3582.1568895870009</v>
      </c>
      <c r="L13" s="27">
        <f t="shared" si="6"/>
        <v>3689.621596274611</v>
      </c>
      <c r="M13" s="27">
        <f t="shared" si="6"/>
        <v>3800.3102441628494</v>
      </c>
      <c r="N13" s="27">
        <f t="shared" si="6"/>
        <v>3914.3195514877348</v>
      </c>
      <c r="O13" s="28">
        <f t="shared" si="6"/>
        <v>4031.7491380323668</v>
      </c>
    </row>
    <row r="14" spans="1:15" x14ac:dyDescent="0.2">
      <c r="A14" s="5" t="s">
        <v>32</v>
      </c>
      <c r="B14" s="24">
        <f>F23/B11</f>
        <v>6.3339840000000008E-2</v>
      </c>
      <c r="C14" s="20"/>
      <c r="D14" s="29" t="s">
        <v>33</v>
      </c>
      <c r="E14" s="30" t="s">
        <v>34</v>
      </c>
      <c r="F14" s="31">
        <f t="shared" ref="F14:O14" si="7">$B$35</f>
        <v>0.03</v>
      </c>
      <c r="G14" s="32">
        <f t="shared" si="7"/>
        <v>0.03</v>
      </c>
      <c r="H14" s="32">
        <f t="shared" si="7"/>
        <v>0.03</v>
      </c>
      <c r="I14" s="32">
        <f t="shared" si="7"/>
        <v>0.03</v>
      </c>
      <c r="J14" s="32">
        <f t="shared" si="7"/>
        <v>0.03</v>
      </c>
      <c r="K14" s="32">
        <f t="shared" si="7"/>
        <v>0.03</v>
      </c>
      <c r="L14" s="32">
        <f t="shared" si="7"/>
        <v>0.03</v>
      </c>
      <c r="M14" s="32">
        <f t="shared" si="7"/>
        <v>0.03</v>
      </c>
      <c r="N14" s="32">
        <f t="shared" si="7"/>
        <v>0.03</v>
      </c>
      <c r="O14" s="33">
        <f t="shared" si="7"/>
        <v>0.03</v>
      </c>
    </row>
    <row r="15" spans="1:15" x14ac:dyDescent="0.2">
      <c r="A15" s="5" t="s">
        <v>35</v>
      </c>
      <c r="B15" s="28">
        <f>B11/B7</f>
        <v>333333.33333333331</v>
      </c>
      <c r="C15" s="27"/>
      <c r="D15" s="18"/>
    </row>
    <row r="16" spans="1:15" outlineLevel="1" x14ac:dyDescent="0.2">
      <c r="A16" s="13" t="s">
        <v>36</v>
      </c>
      <c r="B16" s="34">
        <f>B11/B8</f>
        <v>1000</v>
      </c>
      <c r="C16" s="27"/>
      <c r="D16" s="2" t="s">
        <v>37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3"/>
    </row>
    <row r="17" spans="1:15" outlineLevel="1" x14ac:dyDescent="0.2">
      <c r="A17" s="18"/>
      <c r="B17" s="18"/>
      <c r="C17" s="18"/>
      <c r="D17" s="5" t="s">
        <v>38</v>
      </c>
      <c r="F17" s="9">
        <f>$B$42*$B$7*12</f>
        <v>378000</v>
      </c>
      <c r="G17" s="9">
        <f t="shared" ref="G17:O17" si="8">F17*(1+$B$43)</f>
        <v>387449.99999999994</v>
      </c>
      <c r="H17" s="9">
        <f t="shared" si="8"/>
        <v>397136.24999999988</v>
      </c>
      <c r="I17" s="9">
        <f t="shared" si="8"/>
        <v>407064.65624999983</v>
      </c>
      <c r="J17" s="9">
        <f t="shared" si="8"/>
        <v>417241.27265624981</v>
      </c>
      <c r="K17" s="9">
        <f t="shared" si="8"/>
        <v>427672.30447265605</v>
      </c>
      <c r="L17" s="9">
        <f t="shared" si="8"/>
        <v>438364.11208447244</v>
      </c>
      <c r="M17" s="9">
        <f t="shared" si="8"/>
        <v>449323.2148865842</v>
      </c>
      <c r="N17" s="9">
        <f t="shared" si="8"/>
        <v>460556.29525874875</v>
      </c>
      <c r="O17" s="10">
        <f t="shared" si="8"/>
        <v>472070.20264021744</v>
      </c>
    </row>
    <row r="18" spans="1:15" outlineLevel="1" x14ac:dyDescent="0.2">
      <c r="A18" s="2" t="s">
        <v>39</v>
      </c>
      <c r="B18" s="3"/>
      <c r="D18" s="5" t="s">
        <v>40</v>
      </c>
      <c r="F18" s="9">
        <f t="shared" ref="F18:O18" si="9">F10*$B$44</f>
        <v>42141.599999999999</v>
      </c>
      <c r="G18" s="9">
        <f t="shared" si="9"/>
        <v>47967.336000000003</v>
      </c>
      <c r="H18" s="9">
        <f t="shared" si="9"/>
        <v>49384.216079999998</v>
      </c>
      <c r="I18" s="9">
        <f t="shared" si="9"/>
        <v>50843.049062400016</v>
      </c>
      <c r="J18" s="9">
        <f t="shared" si="9"/>
        <v>52345.079696772009</v>
      </c>
      <c r="K18" s="9">
        <f t="shared" si="9"/>
        <v>53891.589729237669</v>
      </c>
      <c r="L18" s="9">
        <f t="shared" si="9"/>
        <v>55483.89900371636</v>
      </c>
      <c r="M18" s="9">
        <f t="shared" si="9"/>
        <v>57123.366595994448</v>
      </c>
      <c r="N18" s="9">
        <f t="shared" si="9"/>
        <v>58811.39198159505</v>
      </c>
      <c r="O18" s="35">
        <f t="shared" si="9"/>
        <v>60549.416238456688</v>
      </c>
    </row>
    <row r="19" spans="1:15" x14ac:dyDescent="0.2">
      <c r="A19" s="5" t="s">
        <v>41</v>
      </c>
      <c r="B19" s="22">
        <v>0.65</v>
      </c>
      <c r="C19" s="36"/>
      <c r="D19" s="15" t="s">
        <v>42</v>
      </c>
      <c r="F19" s="16">
        <f>F17+F18</f>
        <v>420141.6</v>
      </c>
      <c r="G19" s="16">
        <f>G17+G18</f>
        <v>435417.33599999995</v>
      </c>
      <c r="H19" s="16">
        <f>H17+H18</f>
        <v>446520.46607999987</v>
      </c>
      <c r="I19" s="16">
        <f>I17+I18</f>
        <v>457907.70531239983</v>
      </c>
      <c r="J19" s="16">
        <f t="shared" ref="J19:N19" si="10">J17+J18</f>
        <v>469586.35235302185</v>
      </c>
      <c r="K19" s="16">
        <f t="shared" si="10"/>
        <v>481563.89420189371</v>
      </c>
      <c r="L19" s="16">
        <f t="shared" si="10"/>
        <v>493848.0110881888</v>
      </c>
      <c r="M19" s="16">
        <f t="shared" si="10"/>
        <v>506446.58148257865</v>
      </c>
      <c r="N19" s="16">
        <f t="shared" si="10"/>
        <v>519367.68724034377</v>
      </c>
      <c r="O19" s="17">
        <f>O17+O18</f>
        <v>532619.61887867411</v>
      </c>
    </row>
    <row r="20" spans="1:15" x14ac:dyDescent="0.2">
      <c r="A20" s="5" t="s">
        <v>43</v>
      </c>
      <c r="B20" s="28">
        <f>B11*B19</f>
        <v>6500000</v>
      </c>
      <c r="C20" s="27"/>
      <c r="D20" s="13" t="s">
        <v>44</v>
      </c>
      <c r="E20" s="37"/>
      <c r="F20" s="32">
        <f>IF(F10=0,0,F19/F10)</f>
        <v>0.39879036391594053</v>
      </c>
      <c r="G20" s="32">
        <f>IF(G10=0,0,G19/G10)</f>
        <v>0.36309486605635127</v>
      </c>
      <c r="H20" s="32">
        <f>IF(H10=0,0,H19/H10)</f>
        <v>0.36167059155634562</v>
      </c>
      <c r="I20" s="32">
        <f>IF(I10=0,0,I19/I10)</f>
        <v>0.36025196266290532</v>
      </c>
      <c r="J20" s="32">
        <f t="shared" ref="J20:N20" si="11">IF(J10=0,0,J19/J10)</f>
        <v>0.35883896257166659</v>
      </c>
      <c r="K20" s="32">
        <f t="shared" si="11"/>
        <v>0.3574315744785922</v>
      </c>
      <c r="L20" s="32">
        <f t="shared" si="11"/>
        <v>0.35602978158049808</v>
      </c>
      <c r="M20" s="32">
        <f t="shared" si="11"/>
        <v>0.35463356707557303</v>
      </c>
      <c r="N20" s="32">
        <f t="shared" si="11"/>
        <v>0.35324291416389481</v>
      </c>
      <c r="O20" s="33">
        <f>IF(O10=0,0,O19/O10)</f>
        <v>0.35185780604794137</v>
      </c>
    </row>
    <row r="21" spans="1:15" x14ac:dyDescent="0.2">
      <c r="A21" s="5" t="s">
        <v>45</v>
      </c>
      <c r="B21" s="22">
        <v>5.5E-2</v>
      </c>
      <c r="C21" s="36"/>
      <c r="D21" s="18"/>
    </row>
    <row r="22" spans="1:15" x14ac:dyDescent="0.2">
      <c r="A22" s="5" t="s">
        <v>46</v>
      </c>
      <c r="B22" s="11">
        <v>30</v>
      </c>
      <c r="C22" s="12"/>
      <c r="D22" s="2" t="s">
        <v>47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3"/>
    </row>
    <row r="23" spans="1:15" x14ac:dyDescent="0.2">
      <c r="A23" s="5" t="s">
        <v>48</v>
      </c>
      <c r="B23" s="11">
        <v>2</v>
      </c>
      <c r="C23" s="12"/>
      <c r="D23" s="15" t="s">
        <v>49</v>
      </c>
      <c r="F23" s="16">
        <f>F10-F19</f>
        <v>633398.4</v>
      </c>
      <c r="G23" s="16">
        <f>G10-G19</f>
        <v>763766.06400000025</v>
      </c>
      <c r="H23" s="16">
        <f>H10-H19</f>
        <v>788084.93592000008</v>
      </c>
      <c r="I23" s="16">
        <f>I10-I19</f>
        <v>813168.52124760044</v>
      </c>
      <c r="J23" s="16">
        <f t="shared" ref="J23:N23" si="12">J10-J19</f>
        <v>839040.64006627828</v>
      </c>
      <c r="K23" s="16">
        <f t="shared" si="12"/>
        <v>865725.849029048</v>
      </c>
      <c r="L23" s="16">
        <f t="shared" si="12"/>
        <v>893249.46400472033</v>
      </c>
      <c r="M23" s="16">
        <f t="shared" si="12"/>
        <v>921637.58341728256</v>
      </c>
      <c r="N23" s="16">
        <f t="shared" si="12"/>
        <v>950917.1122995324</v>
      </c>
      <c r="O23" s="17">
        <f>O10-O19</f>
        <v>981115.78708274302</v>
      </c>
    </row>
    <row r="24" spans="1:15" x14ac:dyDescent="0.2">
      <c r="A24" s="38" t="s">
        <v>50</v>
      </c>
      <c r="B24" s="39">
        <f>B13-B20</f>
        <v>3700000</v>
      </c>
      <c r="C24" s="27"/>
      <c r="D24" s="5" t="s">
        <v>51</v>
      </c>
      <c r="F24" s="23">
        <f>IF(F10=0,0,F23/F10)</f>
        <v>0.60120963608405953</v>
      </c>
      <c r="G24" s="23">
        <f>IF(G10=0,0,G23/G10)</f>
        <v>0.63690513394364878</v>
      </c>
      <c r="H24" s="23">
        <f>IF(H10=0,0,H23/H10)</f>
        <v>0.63832940844365438</v>
      </c>
      <c r="I24" s="23">
        <f>IF(I10=0,0,I23/I10)</f>
        <v>0.63974803733709462</v>
      </c>
      <c r="J24" s="23">
        <f t="shared" ref="J24:N24" si="13">IF(J10=0,0,J23/J10)</f>
        <v>0.64116103742833341</v>
      </c>
      <c r="K24" s="23">
        <f t="shared" si="13"/>
        <v>0.6425684255214078</v>
      </c>
      <c r="L24" s="23">
        <f t="shared" si="13"/>
        <v>0.64397021841950197</v>
      </c>
      <c r="M24" s="23">
        <f t="shared" si="13"/>
        <v>0.64536643292442697</v>
      </c>
      <c r="N24" s="23">
        <f t="shared" si="13"/>
        <v>0.64675708583610514</v>
      </c>
      <c r="O24" s="24">
        <f>IF(O10=0,0,O23/O10)</f>
        <v>0.64814219395205863</v>
      </c>
    </row>
    <row r="25" spans="1:15" x14ac:dyDescent="0.2">
      <c r="C25" s="27"/>
      <c r="D25" s="13" t="s">
        <v>52</v>
      </c>
      <c r="E25" s="37"/>
      <c r="F25" s="32">
        <f>F23/$B$13</f>
        <v>6.2097882352941176E-2</v>
      </c>
      <c r="G25" s="32">
        <f>G23/$B$13</f>
        <v>7.487902588235297E-2</v>
      </c>
      <c r="H25" s="32">
        <f>H23/$B$13</f>
        <v>7.7263229011764717E-2</v>
      </c>
      <c r="I25" s="32">
        <f>I23/$B$13</f>
        <v>7.9722404043882394E-2</v>
      </c>
      <c r="J25" s="32">
        <f t="shared" ref="J25:N25" si="14">J23/$B$13</f>
        <v>8.2258886281007679E-2</v>
      </c>
      <c r="K25" s="32">
        <f t="shared" si="14"/>
        <v>8.4875083238141955E-2</v>
      </c>
      <c r="L25" s="32">
        <f t="shared" si="14"/>
        <v>8.7573476863207877E-2</v>
      </c>
      <c r="M25" s="32">
        <f t="shared" si="14"/>
        <v>9.0356625825223774E-2</v>
      </c>
      <c r="N25" s="32">
        <f t="shared" si="14"/>
        <v>9.322716787250318E-2</v>
      </c>
      <c r="O25" s="33">
        <f>O23/$B$13</f>
        <v>9.6187822263014019E-2</v>
      </c>
    </row>
    <row r="26" spans="1:15" x14ac:dyDescent="0.2">
      <c r="A26" s="2" t="s">
        <v>53</v>
      </c>
      <c r="B26" s="3"/>
      <c r="C26" s="40"/>
      <c r="D26" s="18"/>
    </row>
    <row r="27" spans="1:15" x14ac:dyDescent="0.2">
      <c r="A27" s="5" t="s">
        <v>54</v>
      </c>
      <c r="B27" s="22">
        <f>B14</f>
        <v>6.3339840000000008E-2</v>
      </c>
      <c r="C27" s="18"/>
      <c r="D27" s="2" t="s">
        <v>55</v>
      </c>
      <c r="E27" s="8"/>
      <c r="F27" s="8"/>
      <c r="G27" s="8"/>
      <c r="H27" s="8"/>
      <c r="I27" s="8"/>
      <c r="J27" s="8"/>
      <c r="K27" s="8"/>
      <c r="L27" s="8"/>
      <c r="M27" s="8"/>
      <c r="N27" s="8"/>
      <c r="O27" s="3"/>
    </row>
    <row r="28" spans="1:15" x14ac:dyDescent="0.2">
      <c r="A28" s="5" t="s">
        <v>56</v>
      </c>
      <c r="B28" s="22">
        <v>0.02</v>
      </c>
      <c r="D28" s="13" t="s">
        <v>57</v>
      </c>
      <c r="E28" s="37"/>
      <c r="F28" s="41">
        <f>$B$46*$B$7</f>
        <v>54000</v>
      </c>
      <c r="G28" s="41">
        <f t="shared" ref="G28:O28" si="15">F28*(1+$B$47)</f>
        <v>55080</v>
      </c>
      <c r="H28" s="41">
        <f t="shared" si="15"/>
        <v>56181.599999999999</v>
      </c>
      <c r="I28" s="41">
        <f t="shared" si="15"/>
        <v>57305.231999999996</v>
      </c>
      <c r="J28" s="41">
        <f t="shared" si="15"/>
        <v>58451.336639999994</v>
      </c>
      <c r="K28" s="41">
        <f t="shared" si="15"/>
        <v>59620.363372799999</v>
      </c>
      <c r="L28" s="41">
        <f t="shared" si="15"/>
        <v>60812.770640256</v>
      </c>
      <c r="M28" s="41">
        <f t="shared" si="15"/>
        <v>62029.026053061119</v>
      </c>
      <c r="N28" s="41">
        <f t="shared" si="15"/>
        <v>63269.606574122343</v>
      </c>
      <c r="O28" s="35">
        <f t="shared" si="15"/>
        <v>64534.99870560479</v>
      </c>
    </row>
    <row r="29" spans="1:15" x14ac:dyDescent="0.2">
      <c r="A29" s="13" t="s">
        <v>58</v>
      </c>
      <c r="B29" s="14">
        <v>7</v>
      </c>
      <c r="C29" s="36"/>
      <c r="D29" s="18"/>
    </row>
    <row r="30" spans="1:15" x14ac:dyDescent="0.2">
      <c r="A30" s="18"/>
      <c r="C30" s="36"/>
      <c r="D30" s="2" t="s">
        <v>59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3"/>
    </row>
    <row r="31" spans="1:15" x14ac:dyDescent="0.2">
      <c r="A31" s="2" t="s">
        <v>60</v>
      </c>
      <c r="B31" s="3"/>
      <c r="C31" s="12"/>
      <c r="D31" s="5" t="s">
        <v>61</v>
      </c>
      <c r="F31" s="27">
        <f t="shared" ref="F31:O31" si="16">IF(COLUMN()-COLUMN($E$31)&gt;$B$29,"-",F35*$B$21)</f>
        <v>357500</v>
      </c>
      <c r="G31" s="27">
        <f t="shared" si="16"/>
        <v>357500</v>
      </c>
      <c r="H31" s="27">
        <f t="shared" si="16"/>
        <v>357500</v>
      </c>
      <c r="I31" s="27">
        <f t="shared" si="16"/>
        <v>351832.32544979226</v>
      </c>
      <c r="J31" s="27">
        <f t="shared" si="16"/>
        <v>345844.94950484572</v>
      </c>
      <c r="K31" s="27">
        <f t="shared" si="16"/>
        <v>339519.83849352098</v>
      </c>
      <c r="L31" s="27">
        <f t="shared" si="16"/>
        <v>332837.94150334637</v>
      </c>
      <c r="M31" s="27" t="str">
        <f t="shared" si="16"/>
        <v>-</v>
      </c>
      <c r="N31" s="27" t="str">
        <f t="shared" si="16"/>
        <v>-</v>
      </c>
      <c r="O31" s="28" t="str">
        <f t="shared" si="16"/>
        <v>-</v>
      </c>
    </row>
    <row r="32" spans="1:15" x14ac:dyDescent="0.2">
      <c r="A32" s="5" t="s">
        <v>62</v>
      </c>
      <c r="B32" s="22">
        <v>0.85</v>
      </c>
      <c r="D32" s="5" t="s">
        <v>63</v>
      </c>
      <c r="F32" s="27">
        <f t="shared" ref="F32:O32" si="17">IF(COLUMN()-COLUMN($E$32)&gt;$B$29,"-",IF(COLUMN(F32)-COLUMN($F$32)+1&lt;=$B$23, 0, -PPMT($B$21/12, (COLUMN(F32)-COLUMN($F$32)+1-$B$23)*12, ($B$22-$B$23)*12, $B$20)*12))</f>
        <v>0</v>
      </c>
      <c r="G32" s="27">
        <f t="shared" si="17"/>
        <v>0</v>
      </c>
      <c r="H32" s="27">
        <f t="shared" si="17"/>
        <v>103048.62818559544</v>
      </c>
      <c r="I32" s="27">
        <f t="shared" si="17"/>
        <v>108861.38081720944</v>
      </c>
      <c r="J32" s="27">
        <f t="shared" si="17"/>
        <v>115002.01838772319</v>
      </c>
      <c r="K32" s="27">
        <f t="shared" si="17"/>
        <v>121489.03618499266</v>
      </c>
      <c r="L32" s="27">
        <f t="shared" si="17"/>
        <v>128341.97277648898</v>
      </c>
      <c r="M32" s="27" t="str">
        <f t="shared" si="17"/>
        <v>-</v>
      </c>
      <c r="N32" s="27" t="str">
        <f t="shared" si="17"/>
        <v>-</v>
      </c>
      <c r="O32" s="28" t="str">
        <f t="shared" si="17"/>
        <v>-</v>
      </c>
    </row>
    <row r="33" spans="1:15" x14ac:dyDescent="0.2">
      <c r="A33" s="5" t="s">
        <v>64</v>
      </c>
      <c r="B33" s="22">
        <v>0.95</v>
      </c>
      <c r="D33" s="15" t="s">
        <v>65</v>
      </c>
      <c r="F33" s="42">
        <f t="shared" ref="F33:O33" si="18">IF(COLUMN()-COLUMN($E$33)&gt;$B$29,"-",F31+F32)</f>
        <v>357500</v>
      </c>
      <c r="G33" s="42">
        <f t="shared" si="18"/>
        <v>357500</v>
      </c>
      <c r="H33" s="42">
        <f t="shared" si="18"/>
        <v>460548.62818559544</v>
      </c>
      <c r="I33" s="42">
        <f t="shared" si="18"/>
        <v>460693.70626700169</v>
      </c>
      <c r="J33" s="42">
        <f t="shared" si="18"/>
        <v>460846.96789256891</v>
      </c>
      <c r="K33" s="42">
        <f t="shared" si="18"/>
        <v>461008.87467851362</v>
      </c>
      <c r="L33" s="42">
        <f t="shared" si="18"/>
        <v>461179.91427983536</v>
      </c>
      <c r="M33" s="42" t="str">
        <f t="shared" si="18"/>
        <v>-</v>
      </c>
      <c r="N33" s="42" t="str">
        <f t="shared" si="18"/>
        <v>-</v>
      </c>
      <c r="O33" s="39" t="str">
        <f t="shared" si="18"/>
        <v>-</v>
      </c>
    </row>
    <row r="34" spans="1:15" x14ac:dyDescent="0.2">
      <c r="A34" s="5" t="s">
        <v>66</v>
      </c>
      <c r="B34" s="19">
        <v>3000</v>
      </c>
      <c r="C34" s="36"/>
      <c r="D34" s="13" t="s">
        <v>67</v>
      </c>
      <c r="E34" s="37"/>
      <c r="F34" s="43">
        <f t="shared" ref="F34:O34" si="19">IF(COLUMN()-COLUMN($E$34)&gt;$B$29,"-",IF(F33=0,0,F23/F33))</f>
        <v>1.7717437762237762</v>
      </c>
      <c r="G34" s="43">
        <f t="shared" si="19"/>
        <v>2.1364085706293712</v>
      </c>
      <c r="H34" s="43">
        <f t="shared" si="19"/>
        <v>1.7111872399333508</v>
      </c>
      <c r="I34" s="43">
        <f t="shared" si="19"/>
        <v>1.7650957896444908</v>
      </c>
      <c r="J34" s="43">
        <f t="shared" si="19"/>
        <v>1.8206491493329573</v>
      </c>
      <c r="K34" s="43">
        <f t="shared" si="19"/>
        <v>1.8778941069903814</v>
      </c>
      <c r="L34" s="43">
        <f t="shared" si="19"/>
        <v>1.9368785073816404</v>
      </c>
      <c r="M34" s="43" t="str">
        <f t="shared" si="19"/>
        <v>-</v>
      </c>
      <c r="N34" s="43" t="str">
        <f t="shared" si="19"/>
        <v>-</v>
      </c>
      <c r="O34" s="44" t="str">
        <f t="shared" si="19"/>
        <v>-</v>
      </c>
    </row>
    <row r="35" spans="1:15" x14ac:dyDescent="0.2">
      <c r="A35" s="5" t="s">
        <v>33</v>
      </c>
      <c r="B35" s="22">
        <v>0.03</v>
      </c>
      <c r="C35" s="36"/>
      <c r="D35" s="5" t="s">
        <v>68</v>
      </c>
      <c r="E35" s="45" t="s">
        <v>34</v>
      </c>
      <c r="F35" s="46">
        <f>IF(COLUMN()-COLUMN($E$35)&gt;$B$29,"-",$B$20)</f>
        <v>6500000</v>
      </c>
      <c r="G35" s="46">
        <f t="shared" ref="G35:O35" si="20">IF(COLUMN()-COLUMN($E$35)&gt;$B$29,"-",F36)</f>
        <v>6500000</v>
      </c>
      <c r="H35" s="46">
        <f t="shared" si="20"/>
        <v>6500000</v>
      </c>
      <c r="I35" s="46">
        <f t="shared" si="20"/>
        <v>6396951.3718144046</v>
      </c>
      <c r="J35" s="46">
        <f t="shared" si="20"/>
        <v>6288089.9909971952</v>
      </c>
      <c r="K35" s="46">
        <f t="shared" si="20"/>
        <v>6173087.9726094725</v>
      </c>
      <c r="L35" s="46">
        <f t="shared" si="20"/>
        <v>6051598.9364244798</v>
      </c>
      <c r="M35" s="46" t="str">
        <f t="shared" si="20"/>
        <v>-</v>
      </c>
      <c r="N35" s="46" t="str">
        <f t="shared" si="20"/>
        <v>-</v>
      </c>
      <c r="O35" s="47" t="str">
        <f t="shared" si="20"/>
        <v>-</v>
      </c>
    </row>
    <row r="36" spans="1:15" x14ac:dyDescent="0.2">
      <c r="A36" s="5" t="s">
        <v>69</v>
      </c>
      <c r="B36" s="22">
        <v>0.1</v>
      </c>
      <c r="C36" s="20"/>
      <c r="D36" s="13" t="s">
        <v>70</v>
      </c>
      <c r="E36" s="48" t="s">
        <v>34</v>
      </c>
      <c r="F36" s="49">
        <f t="shared" ref="F36:O36" si="21">IF(COLUMN()-COLUMN($E$36)&gt;$B$29,"-",F35-F32)</f>
        <v>6500000</v>
      </c>
      <c r="G36" s="49">
        <f t="shared" si="21"/>
        <v>6500000</v>
      </c>
      <c r="H36" s="49">
        <f t="shared" si="21"/>
        <v>6396951.3718144046</v>
      </c>
      <c r="I36" s="49">
        <f t="shared" si="21"/>
        <v>6288089.9909971952</v>
      </c>
      <c r="J36" s="49">
        <f t="shared" si="21"/>
        <v>6173087.9726094725</v>
      </c>
      <c r="K36" s="49">
        <f t="shared" si="21"/>
        <v>6051598.9364244798</v>
      </c>
      <c r="L36" s="49">
        <f t="shared" si="21"/>
        <v>5923256.9636479905</v>
      </c>
      <c r="M36" s="49" t="str">
        <f t="shared" si="21"/>
        <v>-</v>
      </c>
      <c r="N36" s="49" t="str">
        <f t="shared" si="21"/>
        <v>-</v>
      </c>
      <c r="O36" s="50" t="str">
        <f t="shared" si="21"/>
        <v>-</v>
      </c>
    </row>
    <row r="37" spans="1:15" x14ac:dyDescent="0.2">
      <c r="A37" s="5" t="s">
        <v>71</v>
      </c>
      <c r="B37" s="28">
        <f>B34*B36</f>
        <v>300</v>
      </c>
      <c r="C37" s="36"/>
    </row>
    <row r="38" spans="1:15" x14ac:dyDescent="0.2">
      <c r="A38" s="13" t="s">
        <v>72</v>
      </c>
      <c r="B38" s="51">
        <v>2.5000000000000001E-2</v>
      </c>
      <c r="C38" s="20"/>
      <c r="D38" s="2" t="s">
        <v>73</v>
      </c>
      <c r="E38" s="8"/>
      <c r="F38" s="8"/>
      <c r="G38" s="8"/>
      <c r="H38" s="8"/>
      <c r="I38" s="8"/>
      <c r="J38" s="8"/>
      <c r="K38" s="8"/>
      <c r="L38" s="8"/>
      <c r="M38" s="8"/>
      <c r="N38" s="8"/>
      <c r="O38" s="3"/>
    </row>
    <row r="39" spans="1:15" x14ac:dyDescent="0.2">
      <c r="A39" s="18"/>
      <c r="B39" s="36"/>
      <c r="C39" s="36"/>
      <c r="D39" s="5" t="s">
        <v>74</v>
      </c>
      <c r="E39" s="52">
        <f>-$B$13</f>
        <v>-10200000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3">
        <v>0</v>
      </c>
    </row>
    <row r="40" spans="1:15" x14ac:dyDescent="0.2">
      <c r="A40" s="2" t="s">
        <v>75</v>
      </c>
      <c r="B40" s="3"/>
      <c r="D40" s="5" t="s">
        <v>76</v>
      </c>
      <c r="E40" s="52">
        <f>IF(COLUMN()-COLUMN($E$40)=$B$29, (E23*(1+$B$35))/$B$27*(1-$B$28), 0)</f>
        <v>0</v>
      </c>
      <c r="F40" s="52">
        <f t="shared" ref="F40:O40" si="22">IF(COLUMN()-COLUMN($E$40)=$B$29, (F23*(1+$B$35))/$B$27*(1-$B$28), 0)</f>
        <v>0</v>
      </c>
      <c r="G40" s="52">
        <f t="shared" si="22"/>
        <v>0</v>
      </c>
      <c r="H40" s="52">
        <f t="shared" si="22"/>
        <v>0</v>
      </c>
      <c r="I40" s="52">
        <f t="shared" si="22"/>
        <v>0</v>
      </c>
      <c r="J40" s="52">
        <f t="shared" si="22"/>
        <v>0</v>
      </c>
      <c r="K40" s="52">
        <f t="shared" si="22"/>
        <v>0</v>
      </c>
      <c r="L40" s="52">
        <f t="shared" si="22"/>
        <v>14235053.466607504</v>
      </c>
      <c r="M40" s="52">
        <f t="shared" si="22"/>
        <v>0</v>
      </c>
      <c r="N40" s="52">
        <f t="shared" si="22"/>
        <v>0</v>
      </c>
      <c r="O40" s="53">
        <f t="shared" si="22"/>
        <v>0</v>
      </c>
    </row>
    <row r="41" spans="1:15" x14ac:dyDescent="0.2">
      <c r="A41" s="18" t="s">
        <v>77</v>
      </c>
      <c r="B41" s="22">
        <v>0.35</v>
      </c>
      <c r="D41" s="5" t="s">
        <v>78</v>
      </c>
      <c r="E41" s="52">
        <f>$B$20</f>
        <v>6500000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3">
        <v>0</v>
      </c>
    </row>
    <row r="42" spans="1:15" x14ac:dyDescent="0.2">
      <c r="A42" s="5" t="s">
        <v>79</v>
      </c>
      <c r="B42" s="19">
        <f>B41*B34</f>
        <v>1050</v>
      </c>
      <c r="D42" s="5" t="s">
        <v>80</v>
      </c>
      <c r="E42" s="52">
        <f>IF(COLUMN()-COLUMN($E$42)=$B$29, -E36, 0)</f>
        <v>0</v>
      </c>
      <c r="F42" s="52">
        <f t="shared" ref="F42:O42" si="23">IF(COLUMN()-COLUMN($E$42)=$B$29, -F36, 0)</f>
        <v>0</v>
      </c>
      <c r="G42" s="52">
        <f t="shared" si="23"/>
        <v>0</v>
      </c>
      <c r="H42" s="52">
        <f t="shared" si="23"/>
        <v>0</v>
      </c>
      <c r="I42" s="52">
        <f t="shared" si="23"/>
        <v>0</v>
      </c>
      <c r="J42" s="52">
        <f t="shared" si="23"/>
        <v>0</v>
      </c>
      <c r="K42" s="52">
        <f t="shared" si="23"/>
        <v>0</v>
      </c>
      <c r="L42" s="52">
        <f t="shared" si="23"/>
        <v>-5923256.9636479905</v>
      </c>
      <c r="M42" s="52">
        <f t="shared" si="23"/>
        <v>0</v>
      </c>
      <c r="N42" s="52">
        <f t="shared" si="23"/>
        <v>0</v>
      </c>
      <c r="O42" s="53">
        <f t="shared" si="23"/>
        <v>0</v>
      </c>
    </row>
    <row r="43" spans="1:15" x14ac:dyDescent="0.2">
      <c r="A43" s="5" t="s">
        <v>81</v>
      </c>
      <c r="B43" s="22">
        <v>2.5000000000000001E-2</v>
      </c>
      <c r="D43" s="5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5"/>
    </row>
    <row r="44" spans="1:15" ht="16" thickBot="1" x14ac:dyDescent="0.25">
      <c r="A44" s="5" t="s">
        <v>82</v>
      </c>
      <c r="B44" s="22">
        <v>0.04</v>
      </c>
      <c r="C44" s="20"/>
      <c r="D44" s="15" t="s">
        <v>83</v>
      </c>
      <c r="E44" s="56">
        <f>E39</f>
        <v>-10200000</v>
      </c>
      <c r="F44" s="56">
        <f>F23-F28+IF(COLUMN()-COLUMN($E$44)=$B$29,F40,0)</f>
        <v>579398.40000000002</v>
      </c>
      <c r="G44" s="56">
        <f t="shared" ref="G44:O44" si="24">G23-G28+IF(COLUMN()-COLUMN($E$44)=$B$29,G40,0)</f>
        <v>708686.06400000025</v>
      </c>
      <c r="H44" s="56">
        <f t="shared" si="24"/>
        <v>731903.3359200001</v>
      </c>
      <c r="I44" s="56">
        <f t="shared" si="24"/>
        <v>755863.28924760048</v>
      </c>
      <c r="J44" s="56">
        <f t="shared" si="24"/>
        <v>780589.30342627829</v>
      </c>
      <c r="K44" s="56">
        <f t="shared" si="24"/>
        <v>806105.48565624794</v>
      </c>
      <c r="L44" s="56">
        <f t="shared" si="24"/>
        <v>15067490.159971967</v>
      </c>
      <c r="M44" s="56">
        <f t="shared" si="24"/>
        <v>859608.55736422143</v>
      </c>
      <c r="N44" s="56">
        <f t="shared" si="24"/>
        <v>887647.50572541007</v>
      </c>
      <c r="O44" s="57">
        <f t="shared" si="24"/>
        <v>916580.7883771382</v>
      </c>
    </row>
    <row r="45" spans="1:15" ht="17" thickTop="1" thickBot="1" x14ac:dyDescent="0.25">
      <c r="A45" s="5" t="s">
        <v>84</v>
      </c>
      <c r="B45" s="22">
        <v>0.05</v>
      </c>
      <c r="C45" s="36"/>
      <c r="D45" s="15" t="s">
        <v>85</v>
      </c>
      <c r="E45" s="58">
        <f>E39+E41</f>
        <v>-3700000</v>
      </c>
      <c r="F45" s="58">
        <f t="shared" ref="F45:O45" si="25">IF(COLUMN()-COLUMN($E$45)&gt;$B$29,"-",F23-F28-F33+IF(COLUMN()-COLUMN($E$45)=$B$29,F40+F42,0))</f>
        <v>221898.40000000002</v>
      </c>
      <c r="G45" s="58">
        <f t="shared" si="25"/>
        <v>351186.06400000025</v>
      </c>
      <c r="H45" s="58">
        <f t="shared" si="25"/>
        <v>271354.70773440466</v>
      </c>
      <c r="I45" s="58">
        <f t="shared" si="25"/>
        <v>295169.58298059879</v>
      </c>
      <c r="J45" s="58">
        <f t="shared" si="25"/>
        <v>319742.33553370938</v>
      </c>
      <c r="K45" s="58">
        <f t="shared" si="25"/>
        <v>345096.61097773432</v>
      </c>
      <c r="L45" s="58">
        <f t="shared" si="25"/>
        <v>8683053.2820441425</v>
      </c>
      <c r="M45" s="58" t="str">
        <f t="shared" si="25"/>
        <v>-</v>
      </c>
      <c r="N45" s="58" t="str">
        <f t="shared" si="25"/>
        <v>-</v>
      </c>
      <c r="O45" s="59" t="str">
        <f t="shared" si="25"/>
        <v>-</v>
      </c>
    </row>
    <row r="46" spans="1:15" ht="16" thickTop="1" x14ac:dyDescent="0.2">
      <c r="A46" s="5" t="s">
        <v>86</v>
      </c>
      <c r="B46" s="28">
        <f>B34*B45*12</f>
        <v>1800</v>
      </c>
      <c r="C46" s="36"/>
      <c r="D46" s="5"/>
      <c r="O46" s="21"/>
    </row>
    <row r="47" spans="1:15" x14ac:dyDescent="0.2">
      <c r="A47" s="13" t="s">
        <v>87</v>
      </c>
      <c r="B47" s="51">
        <v>0.02</v>
      </c>
      <c r="C47" s="20"/>
      <c r="D47" s="60"/>
      <c r="E47" s="61"/>
      <c r="F47" s="62"/>
      <c r="G47" s="62"/>
      <c r="H47" s="62"/>
      <c r="I47" s="62"/>
      <c r="J47" s="62"/>
      <c r="K47" s="62"/>
      <c r="L47" s="62"/>
      <c r="M47" s="62"/>
      <c r="N47" s="62"/>
      <c r="O47" s="62"/>
    </row>
    <row r="48" spans="1:15" x14ac:dyDescent="0.2">
      <c r="D48" s="2" t="s">
        <v>88</v>
      </c>
      <c r="E48" s="8"/>
      <c r="F48" s="3"/>
    </row>
    <row r="49" spans="1:12" x14ac:dyDescent="0.2">
      <c r="D49" s="15"/>
      <c r="E49" s="63" t="s">
        <v>89</v>
      </c>
      <c r="F49" s="64" t="s">
        <v>90</v>
      </c>
    </row>
    <row r="50" spans="1:12" x14ac:dyDescent="0.2">
      <c r="B50" s="65"/>
      <c r="D50" s="5" t="s">
        <v>91</v>
      </c>
      <c r="E50" s="23">
        <f ca="1">IRR(OFFSET($E$44,0,0,1,$B$29+1))</f>
        <v>0.11149745321478521</v>
      </c>
      <c r="F50" s="24">
        <f ca="1">IRR(OFFSET($E$45,0,0,1,$B$29+1))</f>
        <v>0.18272178550664875</v>
      </c>
      <c r="H50" s="66"/>
      <c r="I50" s="66"/>
      <c r="L50" s="67"/>
    </row>
    <row r="51" spans="1:12" x14ac:dyDescent="0.2">
      <c r="D51" s="5" t="s">
        <v>92</v>
      </c>
      <c r="E51" s="68">
        <f ca="1">SUM(OFFSET($F$44,0,0,1,$B$29))/-$E$44</f>
        <v>1.9049054939433425</v>
      </c>
      <c r="F51" s="69">
        <f ca="1">SUM(OFFSET($F$45,0,0,1,$B$29))/-$E$45</f>
        <v>2.8344597252082675</v>
      </c>
      <c r="H51" s="66"/>
      <c r="I51" s="66"/>
    </row>
    <row r="52" spans="1:12" x14ac:dyDescent="0.2">
      <c r="D52" s="13" t="s">
        <v>93</v>
      </c>
      <c r="E52" s="41">
        <f ca="1">SUM(OFFSET(E44,0,0,1,$B$29+1))</f>
        <v>9230036.0382220969</v>
      </c>
      <c r="F52" s="35">
        <f ca="1">SUM(OFFSET(E45,0,0,1,$B$29+1))</f>
        <v>6787500.9832705893</v>
      </c>
      <c r="H52" s="70"/>
      <c r="I52" s="70"/>
    </row>
    <row r="53" spans="1:12" x14ac:dyDescent="0.2">
      <c r="A53" s="66"/>
      <c r="C53" s="71"/>
      <c r="H53" s="70"/>
    </row>
    <row r="56" spans="1:12" x14ac:dyDescent="0.2">
      <c r="F56" s="6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Acquisition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Etyen Segal</dc:creator>
  <cp:lastModifiedBy>Etyen Segal</cp:lastModifiedBy>
  <dcterms:created xsi:type="dcterms:W3CDTF">2026-02-13T18:47:11Z</dcterms:created>
  <dcterms:modified xsi:type="dcterms:W3CDTF">2026-02-13T18:48:48Z</dcterms:modified>
</cp:coreProperties>
</file>